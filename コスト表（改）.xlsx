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yumuKaminaga\Documents\GitHub\Fall3\"/>
    </mc:Choice>
  </mc:AlternateContent>
  <xr:revisionPtr revIDLastSave="0" documentId="13_ncr:1_{0CBA94F8-69F8-4191-85DE-9C23AE3E5006}" xr6:coauthVersionLast="47" xr6:coauthVersionMax="47" xr10:uidLastSave="{00000000-0000-0000-0000-000000000000}"/>
  <bookViews>
    <workbookView xWindow="1950" yWindow="1950" windowWidth="21600" windowHeight="11295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L8" i="1" s="1"/>
  <c r="K8" i="1"/>
  <c r="K7" i="1"/>
  <c r="K6" i="1"/>
  <c r="K5" i="1"/>
  <c r="K4" i="1"/>
  <c r="K11" i="1"/>
  <c r="K12" i="1" s="1"/>
  <c r="K3" i="1" l="1"/>
  <c r="L7" i="1" s="1"/>
</calcChain>
</file>

<file path=xl/sharedStrings.xml><?xml version="1.0" encoding="utf-8"?>
<sst xmlns="http://schemas.openxmlformats.org/spreadsheetml/2006/main" count="340" uniqueCount="86">
  <si>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</si>
  <si>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</si>
  <si>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</si>
  <si>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</si>
  <si>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</si>
  <si>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</si>
  <si>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</si>
  <si>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</si>
  <si>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</si>
  <si>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</si>
  <si>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</si>
  <si>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</si>
  <si>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</si>
  <si>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</si>
  <si>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</si>
  <si>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</si>
  <si>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</si>
  <si>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</si>
  <si>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</si>
  <si>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</si>
  <si>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</si>
  <si>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</si>
  <si>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</si>
  <si>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</si>
  <si>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</si>
  <si>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</si>
  <si>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</si>
  <si>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</si>
  <si>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</si>
  <si>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</si>
  <si>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</si>
  <si>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</si>
  <si>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</si>
  <si>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</si>
  <si>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</si>
  <si>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</si>
  <si>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</si>
  <si>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</si>
  <si>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</si>
  <si>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</si>
  <si>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</si>
  <si>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</si>
  <si>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</si>
  <si>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</si>
  <si>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</si>
  <si>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</si>
  <si>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</si>
  <si>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</si>
  <si>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</si>
  <si>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</si>
  <si>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</si>
  <si>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</si>
  <si>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</si>
  <si>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</si>
  <si>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</si>
  <si>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</si>
  <si>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</si>
  <si>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</si>
  <si>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</si>
  <si>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</si>
  <si>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</si>
  <si>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</si>
  <si>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</si>
  <si>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</si>
  <si>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</si>
  <si>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</si>
  <si>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</si>
  <si>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</si>
  <si>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</si>
  <si>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</si>
  <si>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</si>
  <si>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</si>
  <si>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</si>
  <si>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</si>
  <si>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</si>
  <si>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</si>
  <si>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</si>
  <si>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</si>
  <si>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</si>
  <si>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</si>
  <si>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</si>
  <si>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</si>
  <si>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</si>
  <si>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</si>
  <si>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</si>
  <si>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誰か～</t>
    <rPh sb="0" eb="1">
      <t>ダレ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</si>
</sst>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02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6" fillId="3" borderId="8" xfId="0" applyFont="1" applyFill="1" applyBorder="1" applyAlignment="1">
      <alignment horizontal="center"/>
    </xf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0" fillId="3" borderId="17" xfId="0" applyFill="1" applyBorder="1" applyAlignment="1"/>
    <xf numFmtId="0" fontId="2" fillId="3" borderId="16" xfId="0" applyFont="1" applyFill="1" applyBorder="1" applyAlignment="1"/>
    <xf numFmtId="0" fontId="0" fillId="0" borderId="18" xfId="0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/>
    <xf numFmtId="0" fontId="0" fillId="3" borderId="21" xfId="0" applyFill="1" applyBorder="1" applyAlignment="1"/>
    <xf numFmtId="0" fontId="0" fillId="0" borderId="22" xfId="0" applyBorder="1">
      <alignment vertical="center"/>
    </xf>
    <xf numFmtId="0" fontId="0" fillId="10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0" borderId="26" xfId="0" applyBorder="1">
      <alignment vertical="center"/>
    </xf>
    <xf numFmtId="0" fontId="0" fillId="0" borderId="25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7" xfId="0" applyFill="1" applyBorder="1">
      <alignment vertical="center"/>
    </xf>
    <xf numFmtId="0" fontId="0" fillId="9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10" borderId="31" xfId="0" applyFill="1" applyBorder="1">
      <alignment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3" borderId="25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10" borderId="32" xfId="0" applyFill="1" applyBorder="1">
      <alignment vertical="center"/>
    </xf>
    <xf numFmtId="0" fontId="0" fillId="10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10" borderId="39" xfId="0" applyFill="1" applyBorder="1">
      <alignment vertical="center"/>
    </xf>
    <xf numFmtId="0" fontId="0" fillId="0" borderId="36" xfId="0" applyBorder="1">
      <alignment vertical="center"/>
    </xf>
    <xf numFmtId="0" fontId="0" fillId="10" borderId="29" xfId="0" applyFill="1" applyBorder="1">
      <alignment vertical="center"/>
    </xf>
    <xf numFmtId="0" fontId="0" fillId="0" borderId="30" xfId="0" applyBorder="1">
      <alignment vertical="center"/>
    </xf>
    <xf numFmtId="0" fontId="0" fillId="9" borderId="31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2" xfId="0" applyFill="1" applyBorder="1">
      <alignment vertical="center"/>
    </xf>
    <xf numFmtId="0" fontId="0" fillId="0" borderId="40" xfId="0" applyBorder="1">
      <alignment vertical="center"/>
    </xf>
    <xf numFmtId="0" fontId="0" fillId="0" borderId="41" xfId="0" applyBorder="1">
      <alignment vertical="center"/>
    </xf>
    <xf numFmtId="0" fontId="0" fillId="0" borderId="23" xfId="0" applyBorder="1">
      <alignment vertical="center"/>
    </xf>
    <xf numFmtId="0" fontId="0" fillId="0" borderId="42" xfId="0" applyBorder="1">
      <alignment vertical="center"/>
    </xf>
    <xf numFmtId="0" fontId="0" fillId="3" borderId="4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45" xfId="0" applyBorder="1">
      <alignment vertical="center"/>
    </xf>
    <xf numFmtId="0" fontId="0" fillId="3" borderId="9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5" xfId="0" applyBorder="1">
      <alignment vertical="center"/>
    </xf>
    <xf numFmtId="0" fontId="0" fillId="0" borderId="46" xfId="0" applyBorder="1">
      <alignment vertical="center"/>
    </xf>
    <xf numFmtId="0" fontId="0" fillId="0" borderId="31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L74"/>
  <sheetViews>
    <sheetView tabSelected="1" topLeftCell="A61" workbookViewId="0">
      <selection activeCell="J68" sqref="J68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5.5" bestFit="1" customWidth="1"/>
    <col min="12" max="12" width="5" bestFit="1" customWidth="1"/>
  </cols>
  <sheetData>
    <row r="1" spans="1:12" x14ac:dyDescent="0.4">
      <c r="I1" s="46"/>
    </row>
    <row r="2" spans="1:12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5"/>
      <c r="J2" s="14"/>
      <c r="K2" s="3"/>
      <c r="L2" s="3"/>
    </row>
    <row r="3" spans="1:12" x14ac:dyDescent="0.4">
      <c r="A3" s="95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100">
        <v>0.5</v>
      </c>
      <c r="G3" s="4"/>
      <c r="H3" s="4" t="s">
        <v>63</v>
      </c>
      <c r="I3" s="43"/>
      <c r="J3" s="15" t="s">
        <v>9</v>
      </c>
      <c r="K3" s="3">
        <f>SUM(K4,K5,K6)</f>
        <v>70</v>
      </c>
      <c r="L3" s="3"/>
    </row>
    <row r="4" spans="1:12" x14ac:dyDescent="0.4">
      <c r="B4" s="9"/>
      <c r="C4" s="8" t="s">
        <v>22</v>
      </c>
      <c r="D4" s="4" t="s">
        <v>17</v>
      </c>
      <c r="E4" s="4" t="s">
        <v>8</v>
      </c>
      <c r="F4" s="100">
        <v>0.5</v>
      </c>
      <c r="G4" s="4"/>
      <c r="H4" s="4" t="s">
        <v>63</v>
      </c>
      <c r="I4" s="43"/>
      <c r="J4" s="16" t="s">
        <v>11</v>
      </c>
      <c r="K4" s="5">
        <f>COUNTIF(E3:E74,J4)</f>
        <v>39</v>
      </c>
      <c r="L4" s="3"/>
    </row>
    <row r="5" spans="1:12" x14ac:dyDescent="0.4">
      <c r="B5" s="9"/>
      <c r="C5" s="8" t="s">
        <v>23</v>
      </c>
      <c r="D5" s="4" t="s">
        <v>17</v>
      </c>
      <c r="E5" s="4" t="s">
        <v>8</v>
      </c>
      <c r="F5" s="100">
        <v>0.5</v>
      </c>
      <c r="G5" s="4"/>
      <c r="H5" s="4" t="s">
        <v>63</v>
      </c>
      <c r="I5" s="43"/>
      <c r="J5" s="17" t="s">
        <v>12</v>
      </c>
      <c r="K5" s="5">
        <f>COUNTIF(E3:E74,J5)</f>
        <v>12</v>
      </c>
      <c r="L5" s="3"/>
    </row>
    <row r="6" spans="1:12" x14ac:dyDescent="0.4">
      <c r="B6" s="12"/>
      <c r="C6" s="26" t="s">
        <v>24</v>
      </c>
      <c r="D6" s="4" t="s">
        <v>17</v>
      </c>
      <c r="E6" s="4" t="s">
        <v>8</v>
      </c>
      <c r="F6" s="100">
        <v>1</v>
      </c>
      <c r="G6" s="4"/>
      <c r="H6" s="4" t="s">
        <v>63</v>
      </c>
      <c r="I6" s="43"/>
      <c r="J6" s="18" t="s">
        <v>13</v>
      </c>
      <c r="K6" s="5">
        <f>COUNTIF(E3:E74,J6)</f>
        <v>19</v>
      </c>
      <c r="L6" s="3"/>
    </row>
    <row r="7" spans="1:12" x14ac:dyDescent="0.4">
      <c r="A7" s="95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100">
        <v>1</v>
      </c>
      <c r="G7" s="4"/>
      <c r="H7" s="4" t="s">
        <v>63</v>
      </c>
      <c r="I7" s="43"/>
      <c r="J7" s="19" t="s">
        <v>14</v>
      </c>
      <c r="K7" s="5">
        <f>COUNTIF(H3:H74,J7)</f>
        <v>0</v>
      </c>
      <c r="L7" s="6">
        <f>K7/K3</f>
        <v>0</v>
      </c>
    </row>
    <row r="8" spans="1:12" x14ac:dyDescent="0.4">
      <c r="B8" s="9"/>
      <c r="C8" s="8" t="s">
        <v>26</v>
      </c>
      <c r="D8" s="4" t="s">
        <v>31</v>
      </c>
      <c r="E8" s="4" t="s">
        <v>12</v>
      </c>
      <c r="F8" s="100">
        <v>0.5</v>
      </c>
      <c r="G8" s="4"/>
      <c r="H8" s="4" t="s">
        <v>63</v>
      </c>
      <c r="I8" s="43"/>
      <c r="J8" s="20" t="s">
        <v>15</v>
      </c>
      <c r="K8" s="5">
        <f>COUNTIF(H3:H74,J8)</f>
        <v>72</v>
      </c>
      <c r="L8" s="7">
        <f>(K8+K9)/K3</f>
        <v>1.0285714285714285</v>
      </c>
    </row>
    <row r="9" spans="1:12" x14ac:dyDescent="0.4">
      <c r="B9" s="9"/>
      <c r="C9" s="8" t="s">
        <v>27</v>
      </c>
      <c r="D9" s="4" t="s">
        <v>17</v>
      </c>
      <c r="E9" s="4" t="s">
        <v>8</v>
      </c>
      <c r="F9" s="100">
        <v>0.5</v>
      </c>
      <c r="G9" s="4"/>
      <c r="H9" s="47" t="s">
        <v>63</v>
      </c>
      <c r="I9" s="48"/>
      <c r="J9" s="15" t="s">
        <v>18</v>
      </c>
      <c r="K9" s="3">
        <f>COUNTIF(H3:H74,J9)</f>
        <v>0</v>
      </c>
      <c r="L9" s="3"/>
    </row>
    <row r="10" spans="1:12" x14ac:dyDescent="0.4">
      <c r="B10" s="9"/>
      <c r="C10" s="8" t="s">
        <v>28</v>
      </c>
      <c r="D10" s="4" t="s">
        <v>17</v>
      </c>
      <c r="E10" s="4" t="s">
        <v>8</v>
      </c>
      <c r="F10" s="100">
        <v>0.5</v>
      </c>
      <c r="G10" s="4"/>
      <c r="H10" s="4" t="s">
        <v>63</v>
      </c>
      <c r="I10" s="49"/>
      <c r="J10" s="14"/>
      <c r="K10" s="3"/>
      <c r="L10" s="3"/>
    </row>
    <row r="11" spans="1:12" x14ac:dyDescent="0.4">
      <c r="B11" s="9"/>
      <c r="C11" s="8" t="s">
        <v>29</v>
      </c>
      <c r="D11" s="4" t="s">
        <v>17</v>
      </c>
      <c r="E11" s="4" t="s">
        <v>8</v>
      </c>
      <c r="F11" s="100">
        <v>0.5</v>
      </c>
      <c r="G11" s="4"/>
      <c r="H11" s="4" t="s">
        <v>63</v>
      </c>
      <c r="I11" s="43"/>
      <c r="J11" s="21" t="s">
        <v>19</v>
      </c>
      <c r="K11" s="3">
        <f>SUM(F3:F74)</f>
        <v>27.6</v>
      </c>
      <c r="L11" s="3"/>
    </row>
    <row r="12" spans="1:12" x14ac:dyDescent="0.4">
      <c r="B12" s="12"/>
      <c r="C12" s="26" t="s">
        <v>30</v>
      </c>
      <c r="D12" s="4" t="s">
        <v>17</v>
      </c>
      <c r="E12" s="4" t="s">
        <v>8</v>
      </c>
      <c r="F12" s="100">
        <v>1</v>
      </c>
      <c r="G12" s="4"/>
      <c r="H12" s="4" t="s">
        <v>63</v>
      </c>
      <c r="I12" s="44"/>
      <c r="J12" s="22" t="s">
        <v>20</v>
      </c>
      <c r="K12" s="3">
        <f>8*K11</f>
        <v>220.8</v>
      </c>
      <c r="L12" s="3"/>
    </row>
    <row r="13" spans="1:12" x14ac:dyDescent="0.4">
      <c r="A13" s="95" t="s">
        <v>80</v>
      </c>
      <c r="B13" s="23" t="s">
        <v>33</v>
      </c>
      <c r="C13" s="8" t="s">
        <v>34</v>
      </c>
      <c r="D13" s="4" t="s">
        <v>17</v>
      </c>
      <c r="E13" s="4" t="s">
        <v>8</v>
      </c>
      <c r="F13" s="100">
        <v>0.2</v>
      </c>
      <c r="G13" s="4"/>
      <c r="H13" s="4" t="s">
        <v>63</v>
      </c>
    </row>
    <row r="14" spans="1:12" x14ac:dyDescent="0.4">
      <c r="B14" s="24"/>
      <c r="C14" s="8" t="s">
        <v>35</v>
      </c>
      <c r="D14" s="4" t="s">
        <v>17</v>
      </c>
      <c r="E14" s="4" t="s">
        <v>8</v>
      </c>
      <c r="F14" s="100">
        <v>0.2</v>
      </c>
      <c r="G14" s="4"/>
      <c r="H14" s="4" t="s">
        <v>63</v>
      </c>
    </row>
    <row r="15" spans="1:12" x14ac:dyDescent="0.4">
      <c r="B15" s="25"/>
      <c r="C15" s="26" t="s">
        <v>36</v>
      </c>
      <c r="D15" s="4" t="s">
        <v>17</v>
      </c>
      <c r="E15" s="4" t="s">
        <v>8</v>
      </c>
      <c r="F15" s="100">
        <v>0.2</v>
      </c>
      <c r="G15" s="4"/>
      <c r="H15" s="4" t="s">
        <v>63</v>
      </c>
    </row>
    <row r="16" spans="1:12" x14ac:dyDescent="0.4">
      <c r="A16" s="95" t="s">
        <v>80</v>
      </c>
      <c r="B16" s="27" t="s">
        <v>37</v>
      </c>
      <c r="C16" s="33" t="s">
        <v>38</v>
      </c>
      <c r="D16" s="4" t="s">
        <v>17</v>
      </c>
      <c r="E16" s="4" t="s">
        <v>42</v>
      </c>
      <c r="F16" s="101">
        <v>0.5</v>
      </c>
      <c r="G16" s="35"/>
      <c r="H16" s="4" t="s">
        <v>63</v>
      </c>
    </row>
    <row r="17" spans="1:8" x14ac:dyDescent="0.4">
      <c r="B17" s="30"/>
      <c r="C17" s="34" t="s">
        <v>39</v>
      </c>
      <c r="D17" s="4" t="s">
        <v>17</v>
      </c>
      <c r="E17" s="4" t="s">
        <v>42</v>
      </c>
      <c r="F17" s="101">
        <v>0.5</v>
      </c>
      <c r="G17" s="39"/>
      <c r="H17" s="4" t="s">
        <v>63</v>
      </c>
    </row>
    <row r="18" spans="1:8" x14ac:dyDescent="0.4">
      <c r="B18" s="30"/>
      <c r="C18" s="34" t="s">
        <v>40</v>
      </c>
      <c r="D18" s="4" t="s">
        <v>17</v>
      </c>
      <c r="E18" s="4" t="s">
        <v>42</v>
      </c>
      <c r="F18" s="101">
        <v>0.5</v>
      </c>
      <c r="G18" s="37"/>
      <c r="H18" s="4" t="s">
        <v>63</v>
      </c>
    </row>
    <row r="19" spans="1:8" x14ac:dyDescent="0.4">
      <c r="B19" s="31"/>
      <c r="C19" s="26" t="s">
        <v>32</v>
      </c>
      <c r="D19" s="4" t="s">
        <v>17</v>
      </c>
      <c r="E19" s="4" t="s">
        <v>42</v>
      </c>
      <c r="F19" s="101">
        <v>0.5</v>
      </c>
      <c r="G19" s="37"/>
      <c r="H19" s="4" t="s">
        <v>63</v>
      </c>
    </row>
    <row r="20" spans="1:8" x14ac:dyDescent="0.4">
      <c r="A20" s="95" t="s">
        <v>80</v>
      </c>
      <c r="B20" s="27" t="s">
        <v>41</v>
      </c>
      <c r="C20" s="33" t="s">
        <v>38</v>
      </c>
      <c r="D20" s="4" t="s">
        <v>17</v>
      </c>
      <c r="E20" s="4" t="s">
        <v>42</v>
      </c>
      <c r="F20" s="101">
        <v>0.5</v>
      </c>
      <c r="G20" s="35"/>
      <c r="H20" s="4" t="s">
        <v>63</v>
      </c>
    </row>
    <row r="21" spans="1:8" x14ac:dyDescent="0.4">
      <c r="B21" s="30"/>
      <c r="C21" s="34" t="s">
        <v>39</v>
      </c>
      <c r="D21" s="4" t="s">
        <v>17</v>
      </c>
      <c r="E21" s="4" t="s">
        <v>42</v>
      </c>
      <c r="F21" s="101">
        <v>0.5</v>
      </c>
      <c r="G21" s="39"/>
      <c r="H21" s="4" t="s">
        <v>63</v>
      </c>
    </row>
    <row r="22" spans="1:8" x14ac:dyDescent="0.4">
      <c r="B22" s="31"/>
      <c r="C22" s="26" t="s">
        <v>40</v>
      </c>
      <c r="D22" s="4" t="s">
        <v>17</v>
      </c>
      <c r="E22" s="4" t="s">
        <v>42</v>
      </c>
      <c r="F22" s="101">
        <v>0.5</v>
      </c>
      <c r="G22" s="37"/>
      <c r="H22" s="4" t="s">
        <v>63</v>
      </c>
    </row>
    <row r="23" spans="1:8" x14ac:dyDescent="0.4">
      <c r="A23" s="96" t="s">
        <v>81</v>
      </c>
      <c r="B23" s="27" t="s">
        <v>43</v>
      </c>
      <c r="C23" s="33" t="s">
        <v>44</v>
      </c>
      <c r="D23" s="4" t="s">
        <v>17</v>
      </c>
      <c r="E23" s="4" t="s">
        <v>8</v>
      </c>
      <c r="F23" s="35">
        <v>1</v>
      </c>
      <c r="G23" s="29"/>
      <c r="H23" s="4" t="s">
        <v>63</v>
      </c>
    </row>
    <row r="24" spans="1:8" x14ac:dyDescent="0.4">
      <c r="B24" s="30"/>
      <c r="C24" s="34" t="s">
        <v>45</v>
      </c>
      <c r="D24" s="4" t="s">
        <v>17</v>
      </c>
      <c r="E24" s="4" t="s">
        <v>8</v>
      </c>
      <c r="F24" s="39">
        <v>1</v>
      </c>
      <c r="G24" s="42"/>
      <c r="H24" s="4" t="s">
        <v>63</v>
      </c>
    </row>
    <row r="25" spans="1:8" x14ac:dyDescent="0.4">
      <c r="B25" s="30"/>
      <c r="C25" s="34" t="s">
        <v>46</v>
      </c>
      <c r="D25" s="4" t="s">
        <v>17</v>
      </c>
      <c r="E25" s="4" t="s">
        <v>8</v>
      </c>
      <c r="F25" s="36">
        <v>0.5</v>
      </c>
      <c r="G25" s="11"/>
      <c r="H25" s="4" t="s">
        <v>63</v>
      </c>
    </row>
    <row r="26" spans="1:8" x14ac:dyDescent="0.4">
      <c r="B26" s="30"/>
      <c r="C26" s="34" t="s">
        <v>28</v>
      </c>
      <c r="D26" s="4" t="s">
        <v>17</v>
      </c>
      <c r="E26" s="4" t="s">
        <v>8</v>
      </c>
      <c r="F26" s="39">
        <v>1</v>
      </c>
      <c r="G26" s="42"/>
      <c r="H26" s="4" t="s">
        <v>63</v>
      </c>
    </row>
    <row r="27" spans="1:8" x14ac:dyDescent="0.4">
      <c r="B27" s="30"/>
      <c r="C27" s="34" t="s">
        <v>47</v>
      </c>
      <c r="D27" s="4" t="s">
        <v>17</v>
      </c>
      <c r="E27" s="4" t="s">
        <v>8</v>
      </c>
      <c r="F27" s="36">
        <v>0.5</v>
      </c>
      <c r="G27" s="42"/>
      <c r="H27" s="4" t="s">
        <v>63</v>
      </c>
    </row>
    <row r="28" spans="1:8" x14ac:dyDescent="0.4">
      <c r="B28" s="31"/>
      <c r="C28" s="26" t="s">
        <v>48</v>
      </c>
      <c r="D28" s="4" t="s">
        <v>7</v>
      </c>
      <c r="E28" s="4" t="s">
        <v>42</v>
      </c>
      <c r="F28" s="37">
        <v>1</v>
      </c>
      <c r="G28" s="32"/>
      <c r="H28" s="4" t="s">
        <v>63</v>
      </c>
    </row>
    <row r="29" spans="1:8" x14ac:dyDescent="0.4">
      <c r="A29" s="96" t="s">
        <v>81</v>
      </c>
      <c r="B29" s="27" t="s">
        <v>49</v>
      </c>
      <c r="C29" s="33" t="s">
        <v>30</v>
      </c>
      <c r="D29" s="4" t="s">
        <v>17</v>
      </c>
      <c r="E29" s="4" t="s">
        <v>8</v>
      </c>
      <c r="F29" s="29">
        <v>1</v>
      </c>
      <c r="G29" s="35"/>
      <c r="H29" s="4" t="s">
        <v>63</v>
      </c>
    </row>
    <row r="30" spans="1:8" x14ac:dyDescent="0.4">
      <c r="B30" s="30"/>
      <c r="C30" s="34" t="s">
        <v>50</v>
      </c>
      <c r="D30" s="4" t="s">
        <v>17</v>
      </c>
      <c r="E30" s="4" t="s">
        <v>8</v>
      </c>
      <c r="F30" s="39">
        <v>0.5</v>
      </c>
      <c r="G30" s="39"/>
      <c r="H30" s="4" t="s">
        <v>63</v>
      </c>
    </row>
    <row r="31" spans="1:8" x14ac:dyDescent="0.4">
      <c r="B31" s="30"/>
      <c r="C31" s="34" t="s">
        <v>51</v>
      </c>
      <c r="D31" s="4" t="s">
        <v>17</v>
      </c>
      <c r="E31" s="4" t="s">
        <v>8</v>
      </c>
      <c r="F31" s="39">
        <v>0.5</v>
      </c>
      <c r="G31" s="39"/>
      <c r="H31" s="4" t="s">
        <v>63</v>
      </c>
    </row>
    <row r="32" spans="1:8" x14ac:dyDescent="0.4">
      <c r="B32" s="31"/>
      <c r="C32" s="26" t="s">
        <v>52</v>
      </c>
      <c r="D32" s="4" t="s">
        <v>17</v>
      </c>
      <c r="E32" s="4" t="s">
        <v>8</v>
      </c>
      <c r="F32" s="32">
        <v>1</v>
      </c>
      <c r="G32" s="37"/>
      <c r="H32" s="4" t="s">
        <v>63</v>
      </c>
    </row>
    <row r="33" spans="1:8" x14ac:dyDescent="0.4">
      <c r="A33" s="96" t="s">
        <v>81</v>
      </c>
      <c r="B33" s="27" t="s">
        <v>53</v>
      </c>
      <c r="C33" s="33" t="s">
        <v>54</v>
      </c>
      <c r="D33" s="4" t="s">
        <v>17</v>
      </c>
      <c r="E33" s="4" t="s">
        <v>42</v>
      </c>
      <c r="F33" s="35">
        <v>0.5</v>
      </c>
      <c r="G33" s="35"/>
      <c r="H33" s="4" t="s">
        <v>63</v>
      </c>
    </row>
    <row r="34" spans="1:8" x14ac:dyDescent="0.4">
      <c r="B34" s="30"/>
      <c r="C34" s="34" t="s">
        <v>38</v>
      </c>
      <c r="D34" s="4" t="s">
        <v>17</v>
      </c>
      <c r="E34" s="4" t="s">
        <v>42</v>
      </c>
      <c r="F34" s="39">
        <v>0.5</v>
      </c>
      <c r="G34" s="39"/>
      <c r="H34" s="4" t="s">
        <v>63</v>
      </c>
    </row>
    <row r="35" spans="1:8" x14ac:dyDescent="0.4">
      <c r="B35" s="30"/>
      <c r="C35" s="34" t="s">
        <v>39</v>
      </c>
      <c r="D35" s="4" t="s">
        <v>17</v>
      </c>
      <c r="E35" s="4" t="s">
        <v>42</v>
      </c>
      <c r="F35" s="39">
        <v>0.5</v>
      </c>
      <c r="G35" s="39"/>
      <c r="H35" s="4" t="s">
        <v>63</v>
      </c>
    </row>
    <row r="36" spans="1:8" x14ac:dyDescent="0.4">
      <c r="B36" s="31"/>
      <c r="C36" s="26" t="s">
        <v>40</v>
      </c>
      <c r="D36" s="4" t="s">
        <v>17</v>
      </c>
      <c r="E36" s="4" t="s">
        <v>42</v>
      </c>
      <c r="F36" s="37">
        <v>0.5</v>
      </c>
      <c r="G36" s="37"/>
      <c r="H36" s="4" t="s">
        <v>63</v>
      </c>
    </row>
    <row r="37" spans="1:8" x14ac:dyDescent="0.4">
      <c r="A37" s="96" t="s">
        <v>81</v>
      </c>
      <c r="B37" s="27" t="s">
        <v>55</v>
      </c>
      <c r="C37" s="33" t="s">
        <v>38</v>
      </c>
      <c r="D37" s="4" t="s">
        <v>17</v>
      </c>
      <c r="E37" s="4" t="s">
        <v>10</v>
      </c>
      <c r="F37" s="28">
        <v>0.5</v>
      </c>
      <c r="G37" s="35"/>
      <c r="H37" s="4" t="s">
        <v>63</v>
      </c>
    </row>
    <row r="38" spans="1:8" x14ac:dyDescent="0.4">
      <c r="B38" s="30"/>
      <c r="C38" s="34" t="s">
        <v>39</v>
      </c>
      <c r="D38" s="4" t="s">
        <v>17</v>
      </c>
      <c r="E38" s="4" t="s">
        <v>10</v>
      </c>
      <c r="F38" s="38">
        <v>0.5</v>
      </c>
      <c r="G38" s="39"/>
      <c r="H38" s="4" t="s">
        <v>63</v>
      </c>
    </row>
    <row r="39" spans="1:8" x14ac:dyDescent="0.4">
      <c r="B39" s="30"/>
      <c r="C39" s="34" t="s">
        <v>40</v>
      </c>
      <c r="D39" s="4" t="s">
        <v>17</v>
      </c>
      <c r="E39" s="4" t="s">
        <v>10</v>
      </c>
      <c r="F39" s="38">
        <v>0.5</v>
      </c>
      <c r="G39" s="39"/>
      <c r="H39" s="4" t="s">
        <v>63</v>
      </c>
    </row>
    <row r="40" spans="1:8" x14ac:dyDescent="0.4">
      <c r="B40" s="31"/>
      <c r="C40" s="26" t="s">
        <v>56</v>
      </c>
      <c r="D40" s="4" t="s">
        <v>17</v>
      </c>
      <c r="E40" s="4" t="s">
        <v>8</v>
      </c>
      <c r="F40" s="13">
        <v>1</v>
      </c>
      <c r="G40" s="37"/>
      <c r="H40" s="4" t="s">
        <v>63</v>
      </c>
    </row>
    <row r="41" spans="1:8" x14ac:dyDescent="0.4">
      <c r="A41" s="96" t="s">
        <v>81</v>
      </c>
      <c r="B41" s="27" t="s">
        <v>57</v>
      </c>
      <c r="C41" s="33" t="s">
        <v>58</v>
      </c>
      <c r="D41" s="4" t="s">
        <v>7</v>
      </c>
      <c r="E41" s="4" t="s">
        <v>42</v>
      </c>
      <c r="F41" s="28">
        <v>1</v>
      </c>
      <c r="G41" s="35"/>
      <c r="H41" s="4" t="s">
        <v>63</v>
      </c>
    </row>
    <row r="42" spans="1:8" x14ac:dyDescent="0.4">
      <c r="B42" s="30"/>
      <c r="C42" s="34" t="s">
        <v>38</v>
      </c>
      <c r="D42" s="4" t="s">
        <v>7</v>
      </c>
      <c r="E42" s="4" t="s">
        <v>42</v>
      </c>
      <c r="F42" s="38">
        <v>0.5</v>
      </c>
      <c r="G42" s="39"/>
      <c r="H42" s="4" t="s">
        <v>63</v>
      </c>
    </row>
    <row r="43" spans="1:8" x14ac:dyDescent="0.4">
      <c r="B43" s="30"/>
      <c r="C43" s="34" t="s">
        <v>39</v>
      </c>
      <c r="D43" s="4" t="s">
        <v>17</v>
      </c>
      <c r="E43" s="4" t="s">
        <v>10</v>
      </c>
      <c r="F43" s="38">
        <v>0.5</v>
      </c>
      <c r="G43" s="36"/>
      <c r="H43" s="4" t="s">
        <v>63</v>
      </c>
    </row>
    <row r="44" spans="1:8" x14ac:dyDescent="0.4">
      <c r="B44" s="30"/>
      <c r="C44" s="34" t="s">
        <v>40</v>
      </c>
      <c r="D44" s="4" t="s">
        <v>7</v>
      </c>
      <c r="E44" s="4" t="s">
        <v>42</v>
      </c>
      <c r="F44" s="38">
        <v>0.5</v>
      </c>
      <c r="G44" s="39"/>
      <c r="H44" s="4" t="s">
        <v>63</v>
      </c>
    </row>
    <row r="45" spans="1:8" x14ac:dyDescent="0.4">
      <c r="B45" s="30"/>
      <c r="C45" s="34" t="s">
        <v>59</v>
      </c>
      <c r="D45" s="4" t="s">
        <v>17</v>
      </c>
      <c r="E45" s="4" t="s">
        <v>10</v>
      </c>
      <c r="F45" s="38">
        <v>0.5</v>
      </c>
      <c r="G45" s="36"/>
      <c r="H45" s="4" t="s">
        <v>63</v>
      </c>
    </row>
    <row r="46" spans="1:8" x14ac:dyDescent="0.4">
      <c r="B46" s="31"/>
      <c r="C46" s="26" t="s">
        <v>32</v>
      </c>
      <c r="D46" s="4" t="s">
        <v>17</v>
      </c>
      <c r="E46" s="4" t="s">
        <v>10</v>
      </c>
      <c r="F46" s="38">
        <v>0.5</v>
      </c>
      <c r="G46" s="39"/>
      <c r="H46" s="4" t="s">
        <v>63</v>
      </c>
    </row>
    <row r="47" spans="1:8" x14ac:dyDescent="0.4">
      <c r="A47" s="96" t="s">
        <v>81</v>
      </c>
      <c r="B47" s="27" t="s">
        <v>60</v>
      </c>
      <c r="C47" s="33" t="s">
        <v>34</v>
      </c>
      <c r="D47" s="4" t="s">
        <v>7</v>
      </c>
      <c r="E47" s="4" t="s">
        <v>10</v>
      </c>
      <c r="F47" s="38">
        <v>0.5</v>
      </c>
      <c r="G47" s="39"/>
      <c r="H47" s="4" t="s">
        <v>63</v>
      </c>
    </row>
    <row r="48" spans="1:8" x14ac:dyDescent="0.4">
      <c r="B48" s="31"/>
      <c r="C48" s="26" t="s">
        <v>35</v>
      </c>
      <c r="D48" s="4" t="s">
        <v>7</v>
      </c>
      <c r="E48" s="4" t="s">
        <v>10</v>
      </c>
      <c r="F48" s="38">
        <v>0.5</v>
      </c>
      <c r="G48" s="37"/>
      <c r="H48" s="4" t="s">
        <v>63</v>
      </c>
    </row>
    <row r="49" spans="1:8" x14ac:dyDescent="0.4">
      <c r="A49" s="99" t="s">
        <v>85</v>
      </c>
      <c r="B49" s="27" t="s">
        <v>61</v>
      </c>
      <c r="C49" s="40" t="s">
        <v>62</v>
      </c>
      <c r="D49" s="4" t="s">
        <v>17</v>
      </c>
      <c r="E49" s="4" t="s">
        <v>8</v>
      </c>
      <c r="F49" s="41"/>
      <c r="G49" s="39"/>
      <c r="H49" s="4" t="s">
        <v>63</v>
      </c>
    </row>
    <row r="50" spans="1:8" x14ac:dyDescent="0.4">
      <c r="A50" s="94" t="s">
        <v>82</v>
      </c>
      <c r="B50" s="51" t="s">
        <v>64</v>
      </c>
      <c r="C50" s="52" t="s">
        <v>65</v>
      </c>
      <c r="D50" s="4" t="s">
        <v>17</v>
      </c>
      <c r="E50" s="4" t="s">
        <v>8</v>
      </c>
      <c r="F50" s="53"/>
      <c r="G50" s="54"/>
      <c r="H50" s="4" t="s">
        <v>63</v>
      </c>
    </row>
    <row r="51" spans="1:8" x14ac:dyDescent="0.4">
      <c r="A51" s="94" t="s">
        <v>82</v>
      </c>
      <c r="B51" s="59" t="s">
        <v>66</v>
      </c>
      <c r="C51" s="57" t="s">
        <v>67</v>
      </c>
      <c r="D51" s="55" t="s">
        <v>17</v>
      </c>
      <c r="E51" s="4" t="s">
        <v>69</v>
      </c>
      <c r="F51" s="61"/>
      <c r="G51" s="50"/>
      <c r="H51" s="4" t="s">
        <v>63</v>
      </c>
    </row>
    <row r="52" spans="1:8" x14ac:dyDescent="0.4">
      <c r="B52" s="64"/>
      <c r="C52" s="58" t="s">
        <v>68</v>
      </c>
      <c r="D52" s="55" t="s">
        <v>17</v>
      </c>
      <c r="E52" s="62" t="s">
        <v>69</v>
      </c>
      <c r="F52" s="63"/>
      <c r="G52" s="50"/>
      <c r="H52" s="4" t="s">
        <v>63</v>
      </c>
    </row>
    <row r="53" spans="1:8" x14ac:dyDescent="0.4">
      <c r="A53" s="97" t="s">
        <v>83</v>
      </c>
      <c r="B53" s="59" t="s">
        <v>70</v>
      </c>
      <c r="C53" s="57" t="s">
        <v>71</v>
      </c>
      <c r="D53" s="55" t="s">
        <v>17</v>
      </c>
      <c r="E53" s="62" t="s">
        <v>8</v>
      </c>
      <c r="F53" s="63"/>
      <c r="G53" s="50"/>
      <c r="H53" s="4" t="s">
        <v>63</v>
      </c>
    </row>
    <row r="54" spans="1:8" x14ac:dyDescent="0.4">
      <c r="B54" s="65"/>
      <c r="C54" s="66" t="s">
        <v>72</v>
      </c>
      <c r="D54" s="67" t="s">
        <v>17</v>
      </c>
      <c r="E54" s="68" t="s">
        <v>8</v>
      </c>
      <c r="G54" s="36"/>
      <c r="H54" s="68" t="s">
        <v>63</v>
      </c>
    </row>
    <row r="55" spans="1:8" x14ac:dyDescent="0.4">
      <c r="A55" s="97" t="s">
        <v>83</v>
      </c>
      <c r="B55" s="56" t="s">
        <v>59</v>
      </c>
      <c r="C55" s="75" t="s">
        <v>73</v>
      </c>
      <c r="D55" s="67" t="s">
        <v>17</v>
      </c>
      <c r="E55" s="68" t="s">
        <v>8</v>
      </c>
      <c r="F55" s="69"/>
      <c r="G55" s="70"/>
      <c r="H55" s="68" t="s">
        <v>63</v>
      </c>
    </row>
    <row r="56" spans="1:8" x14ac:dyDescent="0.4">
      <c r="B56" s="71"/>
      <c r="C56" s="76" t="s">
        <v>74</v>
      </c>
      <c r="D56" s="67" t="s">
        <v>17</v>
      </c>
      <c r="E56" s="68" t="s">
        <v>8</v>
      </c>
      <c r="F56" s="79"/>
      <c r="G56" s="80"/>
      <c r="H56" s="68" t="s">
        <v>63</v>
      </c>
    </row>
    <row r="57" spans="1:8" x14ac:dyDescent="0.4">
      <c r="B57" s="71"/>
      <c r="C57" s="76" t="s">
        <v>75</v>
      </c>
      <c r="D57" s="67" t="s">
        <v>17</v>
      </c>
      <c r="E57" s="68" t="s">
        <v>8</v>
      </c>
      <c r="F57" s="79"/>
      <c r="G57" s="78"/>
      <c r="H57" s="68" t="s">
        <v>63</v>
      </c>
    </row>
    <row r="58" spans="1:8" x14ac:dyDescent="0.4">
      <c r="B58" s="71"/>
      <c r="C58" s="76" t="s">
        <v>29</v>
      </c>
      <c r="D58" s="67" t="s">
        <v>17</v>
      </c>
      <c r="E58" s="68" t="s">
        <v>8</v>
      </c>
      <c r="G58" s="36"/>
      <c r="H58" s="68" t="s">
        <v>63</v>
      </c>
    </row>
    <row r="59" spans="1:8" x14ac:dyDescent="0.4">
      <c r="A59" s="97" t="s">
        <v>83</v>
      </c>
      <c r="B59" s="56" t="s">
        <v>76</v>
      </c>
      <c r="C59" s="75" t="s">
        <v>77</v>
      </c>
      <c r="D59" s="82" t="s">
        <v>17</v>
      </c>
      <c r="E59" s="83" t="s">
        <v>8</v>
      </c>
      <c r="F59" s="69"/>
      <c r="G59" s="92"/>
      <c r="H59" s="68" t="s">
        <v>63</v>
      </c>
    </row>
    <row r="60" spans="1:8" x14ac:dyDescent="0.4">
      <c r="B60" s="71"/>
      <c r="C60" s="76" t="s">
        <v>32</v>
      </c>
      <c r="D60" s="86" t="s">
        <v>17</v>
      </c>
      <c r="E60" s="89" t="s">
        <v>8</v>
      </c>
      <c r="F60" s="80"/>
      <c r="G60" s="87"/>
      <c r="H60" s="68" t="s">
        <v>63</v>
      </c>
    </row>
    <row r="61" spans="1:8" x14ac:dyDescent="0.4">
      <c r="B61" s="71"/>
      <c r="C61" s="76" t="s">
        <v>59</v>
      </c>
      <c r="D61" s="85" t="s">
        <v>17</v>
      </c>
      <c r="E61" s="90" t="s">
        <v>8</v>
      </c>
      <c r="F61" s="80"/>
      <c r="G61" s="81"/>
      <c r="H61" s="68" t="s">
        <v>63</v>
      </c>
    </row>
    <row r="62" spans="1:8" x14ac:dyDescent="0.4">
      <c r="B62" s="71"/>
      <c r="C62" s="76" t="s">
        <v>53</v>
      </c>
      <c r="D62" s="67" t="s">
        <v>17</v>
      </c>
      <c r="E62" s="88" t="s">
        <v>8</v>
      </c>
      <c r="F62" s="80"/>
      <c r="G62" s="81"/>
      <c r="H62" s="68" t="s">
        <v>63</v>
      </c>
    </row>
    <row r="63" spans="1:8" x14ac:dyDescent="0.4">
      <c r="B63" s="71"/>
      <c r="C63" s="76" t="s">
        <v>38</v>
      </c>
      <c r="D63" s="67" t="s">
        <v>17</v>
      </c>
      <c r="E63" s="88" t="s">
        <v>8</v>
      </c>
      <c r="F63" s="91"/>
      <c r="G63" s="72"/>
      <c r="H63" s="68" t="s">
        <v>63</v>
      </c>
    </row>
    <row r="64" spans="1:8" x14ac:dyDescent="0.4">
      <c r="B64" s="71"/>
      <c r="C64" s="76" t="s">
        <v>40</v>
      </c>
      <c r="D64" s="67" t="s">
        <v>17</v>
      </c>
      <c r="E64" s="88" t="s">
        <v>8</v>
      </c>
      <c r="F64" s="80"/>
      <c r="G64" s="81"/>
      <c r="H64" s="68" t="s">
        <v>63</v>
      </c>
    </row>
    <row r="65" spans="1:8" x14ac:dyDescent="0.4">
      <c r="B65" s="71"/>
      <c r="C65" s="76" t="s">
        <v>78</v>
      </c>
      <c r="D65" s="67" t="s">
        <v>17</v>
      </c>
      <c r="E65" s="88" t="s">
        <v>8</v>
      </c>
      <c r="F65" s="80"/>
      <c r="G65" s="81"/>
      <c r="H65" s="68" t="s">
        <v>63</v>
      </c>
    </row>
    <row r="66" spans="1:8" x14ac:dyDescent="0.4">
      <c r="B66" s="73"/>
      <c r="C66" s="77" t="s">
        <v>43</v>
      </c>
      <c r="D66" s="84" t="s">
        <v>17</v>
      </c>
      <c r="E66" s="89" t="s">
        <v>8</v>
      </c>
      <c r="F66" s="80"/>
      <c r="G66" s="74"/>
      <c r="H66" s="86" t="s">
        <v>63</v>
      </c>
    </row>
    <row r="67" spans="1:8" x14ac:dyDescent="0.4">
      <c r="A67" s="98" t="s">
        <v>84</v>
      </c>
      <c r="B67" s="56" t="s">
        <v>79</v>
      </c>
      <c r="C67" s="75" t="s">
        <v>32</v>
      </c>
      <c r="D67" s="84" t="s">
        <v>17</v>
      </c>
      <c r="E67" s="89" t="s">
        <v>8</v>
      </c>
      <c r="F67" s="93"/>
      <c r="G67" s="93"/>
      <c r="H67" s="86" t="s">
        <v>63</v>
      </c>
    </row>
    <row r="68" spans="1:8" x14ac:dyDescent="0.4">
      <c r="B68" s="71"/>
      <c r="C68" s="76" t="s">
        <v>59</v>
      </c>
      <c r="D68" s="84" t="s">
        <v>17</v>
      </c>
      <c r="E68" s="89" t="s">
        <v>8</v>
      </c>
      <c r="F68" s="80"/>
      <c r="G68" s="80"/>
      <c r="H68" s="86" t="s">
        <v>63</v>
      </c>
    </row>
    <row r="69" spans="1:8" x14ac:dyDescent="0.4">
      <c r="B69" s="71"/>
      <c r="C69" s="76" t="s">
        <v>53</v>
      </c>
      <c r="D69" s="84" t="s">
        <v>17</v>
      </c>
      <c r="E69" s="89" t="s">
        <v>42</v>
      </c>
      <c r="F69" s="91"/>
      <c r="G69" s="91"/>
      <c r="H69" s="86" t="s">
        <v>63</v>
      </c>
    </row>
    <row r="70" spans="1:8" x14ac:dyDescent="0.4">
      <c r="B70" s="71"/>
      <c r="C70" s="76" t="s">
        <v>41</v>
      </c>
      <c r="D70" s="84" t="s">
        <v>17</v>
      </c>
      <c r="E70" s="89" t="s">
        <v>42</v>
      </c>
      <c r="F70" s="80"/>
      <c r="G70" s="80"/>
      <c r="H70" s="86" t="s">
        <v>63</v>
      </c>
    </row>
    <row r="71" spans="1:8" x14ac:dyDescent="0.4">
      <c r="B71" s="71"/>
      <c r="C71" s="76" t="s">
        <v>37</v>
      </c>
      <c r="D71" s="84" t="s">
        <v>17</v>
      </c>
      <c r="E71" s="89" t="s">
        <v>42</v>
      </c>
      <c r="F71" s="91"/>
      <c r="G71" s="91"/>
      <c r="H71" s="86" t="s">
        <v>63</v>
      </c>
    </row>
    <row r="72" spans="1:8" x14ac:dyDescent="0.4">
      <c r="B72" s="71"/>
      <c r="C72" s="76" t="s">
        <v>25</v>
      </c>
      <c r="D72" s="84" t="s">
        <v>17</v>
      </c>
      <c r="E72" s="89" t="s">
        <v>10</v>
      </c>
      <c r="F72" s="80"/>
      <c r="G72" s="80"/>
      <c r="H72" s="86" t="s">
        <v>63</v>
      </c>
    </row>
    <row r="73" spans="1:8" x14ac:dyDescent="0.4">
      <c r="B73" s="71"/>
      <c r="C73" s="76" t="s">
        <v>58</v>
      </c>
      <c r="D73" s="84" t="s">
        <v>17</v>
      </c>
      <c r="E73" s="89" t="s">
        <v>42</v>
      </c>
      <c r="F73" s="80"/>
      <c r="G73" s="80"/>
      <c r="H73" s="86" t="s">
        <v>63</v>
      </c>
    </row>
    <row r="74" spans="1:8" x14ac:dyDescent="0.4">
      <c r="B74" s="73"/>
      <c r="C74" s="77" t="s">
        <v>77</v>
      </c>
      <c r="D74" s="84" t="s">
        <v>17</v>
      </c>
      <c r="E74" s="89" t="s">
        <v>10</v>
      </c>
      <c r="F74" s="60"/>
      <c r="G74" s="60"/>
      <c r="H74" s="86" t="s">
        <v>63</v>
      </c>
    </row>
  </sheetData>
  <phoneticPr fontId="4"/>
  <dataValidations count="3">
    <dataValidation type="list" allowBlank="1" showInputMessage="1" showErrorMessage="1" sqref="H3:H74" xr:uid="{6668A6B0-AE49-40A9-BDCA-1EF7E08764AB}">
      <formula1>"未着手,作業中,完了"</formula1>
    </dataValidation>
    <dataValidation type="list" allowBlank="1" showInputMessage="1" showErrorMessage="1" sqref="E3:E74" xr:uid="{3F25CF45-EEFF-4838-8184-2DB508A95967}">
      <formula1>"プロト,アルファ,ベータ,マスタ"</formula1>
    </dataValidation>
    <dataValidation type="list" allowBlank="1" showInputMessage="1" showErrorMessage="1" sqref="D3:D74" xr:uid="{D99FF9D9-52C2-47CC-BC93-4ACF23B2DA2A}">
      <formula1>"S,A,B,C"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上永　歩睦</cp:lastModifiedBy>
  <dcterms:created xsi:type="dcterms:W3CDTF">2026-02-05T12:39:00Z</dcterms:created>
  <dcterms:modified xsi:type="dcterms:W3CDTF">2026-02-06T00:41:45Z</dcterms:modified>
</cp:coreProperties>
</file>