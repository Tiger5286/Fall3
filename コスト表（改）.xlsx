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5EBC51AA-E1AF-44EA-96BE-2FE605AEA4CC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/>
  <c r="Q21" i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<sst xmlns="http://schemas.openxmlformats.org/spreadsheetml/2006/main" count="446" uniqueCount="106">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</sst>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1"/>
  <sheetViews>
    <sheetView tabSelected="1" topLeftCell="A4" workbookViewId="0">
      <selection activeCell="J68" sqref="J68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SUM(F2:F71)</f>
        <v>50.099999999999994</v>
      </c>
      <c r="L2" s="53">
        <f>SUMIF(H2:H71,"完了",F2:F71)</f>
        <v>44.599999999999994</v>
      </c>
      <c r="M2" s="53">
        <f>K2-L2</f>
        <v>5.5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SUMIF(E2:E71,"プロト",F2:F71)</f>
        <v>24</v>
      </c>
      <c r="L3" s="53">
        <f>SUMIFS(F2:F71,E2:E71,"プロト",H2:H71,"完了")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SUMIF(E2:E71,"アルファ",F2:F71)</f>
        <v>10.600000000000001</v>
      </c>
      <c r="L4" s="53">
        <f>SUMIFS(F2:F71,E2:E71,"アルファ",H2:H71,"完了")</f>
        <v>10.100000000000001</v>
      </c>
      <c r="M4" s="53">
        <f t="shared" si="0"/>
        <v>0.5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SUMIF(E2:E71,"ベータ",F2:F71)</f>
        <v>13.5</v>
      </c>
      <c r="L5" s="53">
        <f>SUMIFS(F2:F71,E2:E71,"ベータ",H2:H71,"完了")</f>
        <v>10.5</v>
      </c>
      <c r="M5" s="53">
        <f t="shared" si="0"/>
        <v>3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SUMIF(E2:E71,"マスタ",F2:F71)</f>
        <v>2</v>
      </c>
      <c r="L6" s="80">
        <f>SUMIFS(F2:F71,E2:E71,"マスタ",H2:H71,"完了")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SUMIF(A2:A71,"大崎",F2:F71)</f>
        <v>12.099999999999998</v>
      </c>
      <c r="L10" s="80">
        <f>SUMIFS(F2:F71,A2:A71,"大崎",H2:H71,"完了")</f>
        <v>11.099999999999998</v>
      </c>
      <c r="M10" s="80">
        <f>K10 - L10</f>
        <v>1</v>
      </c>
      <c r="N10" s="79"/>
      <c r="O10" s="94" t="s">
        <v>70</v>
      </c>
      <c r="P10" s="80">
        <f>SUMIFS(F2:F71,A2:A71,"大崎",E2:E71,"プロト")</f>
        <v>5</v>
      </c>
      <c r="Q10" s="80">
        <f>SUMIFS(F2:F71,A2:A71,"大崎",E2:E71,"プロト",H2:H71,"完了")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SUMIF(A2:A71,"上永",F2:F71)</f>
        <v>12.5</v>
      </c>
      <c r="L11" s="80">
        <f>SUMIFS(F2:F71,A2:A71,"上永",H2:H71,"完了")</f>
        <v>12.5</v>
      </c>
      <c r="M11" s="80">
        <f t="shared" ref="M11:M14" si="1">K11 - L11</f>
        <v>0</v>
      </c>
      <c r="N11" s="79"/>
      <c r="O11" s="95" t="s">
        <v>71</v>
      </c>
      <c r="P11" s="80">
        <f>SUMIFS(F2:F71,A2:A71,"上永",E2:E71,"プロト")</f>
        <v>8</v>
      </c>
      <c r="Q11" s="80">
        <f>SUMIFS(F2:F71,A2:A71,"上永",E2:E71,"プロト",H2:H71,"完了")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SUMIF(A2:A71,"川浪",F2:F71)</f>
        <v>6.5</v>
      </c>
      <c r="L12" s="80">
        <f>SUMIFS(F2:F71,A2:A71,"川浪",H2:H71,"完了")</f>
        <v>6.5</v>
      </c>
      <c r="M12" s="80">
        <f t="shared" si="1"/>
        <v>0</v>
      </c>
      <c r="N12" s="79"/>
      <c r="O12" s="96" t="s">
        <v>73</v>
      </c>
      <c r="P12" s="80">
        <f>SUMIFS(F2:F71,A2:A71,"川浪",E2:E71,"プロト")</f>
        <v>6</v>
      </c>
      <c r="Q12" s="80">
        <f>SUMIFS(F2:F71,A2:A71,"川浪",E2:E71,"プロト",H2:H71,"完了")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SUMIF(A2:A71,"佐々木",F2:F71)</f>
        <v>10</v>
      </c>
      <c r="L13" s="80">
        <f>SUMIFS(F2:F71,A2:A71,"佐々木",H2:H71,"完了")</f>
        <v>6.5</v>
      </c>
      <c r="M13" s="80">
        <f t="shared" si="1"/>
        <v>3.5</v>
      </c>
      <c r="N13" s="79"/>
      <c r="O13" s="97" t="s">
        <v>72</v>
      </c>
      <c r="P13" s="80">
        <f>SUMIFS(F2:F71,A2:A71,"佐々木",E2:E71,"プロト")</f>
        <v>4</v>
      </c>
      <c r="Q13" s="80">
        <f>SUMIFS(F2:F71,A2:A71,"佐々木",E2:E71,"プロト",H2:H71,"完了")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SUMIF(A2:A71,"誰でも",F2:F71)</f>
        <v>8</v>
      </c>
      <c r="L14" s="80">
        <f>SUMIFS(F2:F71,A2:A71,"誰でも",H2:H71,"完了")</f>
        <v>8</v>
      </c>
      <c r="M14" s="80">
        <f t="shared" si="1"/>
        <v>0</v>
      </c>
      <c r="N14" s="79"/>
      <c r="O14" s="98" t="s">
        <v>74</v>
      </c>
      <c r="P14" s="80">
        <f>SUMIFS(F2:F71,A2:A71,"誰でも",E2:E71,"プロト")</f>
        <v>1</v>
      </c>
      <c r="Q14" s="80">
        <f>SUMIFS(F2:F71,A2:A71,"誰でも",E2:E71,"プロト",H2:H71,"完了")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76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>
        <v>0.5</v>
      </c>
      <c r="H17" s="3" t="s">
        <v>75</v>
      </c>
      <c r="I17" s="79"/>
      <c r="J17" s="94" t="s">
        <v>70</v>
      </c>
      <c r="K17" s="80">
        <f>SUMIFS(F2:F71,A2:A71,"大崎",E2:E71,"アルファ")</f>
        <v>3.6000000000000005</v>
      </c>
      <c r="L17" s="80">
        <f>SUMIFS(F2:F71,A2:A71,"大崎",E2:E71,"アルファ",H2:H71,"完了")</f>
        <v>3.6000000000000005</v>
      </c>
      <c r="M17" s="80">
        <f>K17 - L17</f>
        <v>0</v>
      </c>
      <c r="N17" s="79"/>
      <c r="O17" s="94" t="s">
        <v>70</v>
      </c>
      <c r="P17" s="80">
        <f>SUMIFS(F2:F71,A2:A71,"大崎",E2:E71,"ベータ")</f>
        <v>3.5</v>
      </c>
      <c r="Q17" s="80">
        <f>SUMIFS(F2:F71,A2:A71,"大崎",E2:E71,"ベータ",H2:H71,"完了")</f>
        <v>2.5</v>
      </c>
      <c r="R17" s="80">
        <f>P17 - Q17</f>
        <v>1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76</v>
      </c>
      <c r="I18" s="79"/>
      <c r="J18" s="95" t="s">
        <v>71</v>
      </c>
      <c r="K18" s="80">
        <f>SUMIFS(F2:F71,A2:A71,"上永",E2:E71,"アルファ")</f>
        <v>1.5</v>
      </c>
      <c r="L18" s="80">
        <f>SUMIFS(F2:F71,A2:A71,"上永",E2:E71,"アルファ",H2:H71,"完了")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SUMIFS(F2:F71,A2:A71,"上永",E2:E71,"ベータ")</f>
        <v>3</v>
      </c>
      <c r="Q18" s="80">
        <f>SUMIFS(F2:F71,A2:A71,"上永",E2:E71,"ベータ",H2:H71,"完了")</f>
        <v>3</v>
      </c>
      <c r="R18" s="80">
        <f t="shared" ref="R18:R21" si="4">P18 - Q18</f>
        <v>0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>
        <v>0.2</v>
      </c>
      <c r="H19" s="3" t="s">
        <v>75</v>
      </c>
      <c r="J19" s="96" t="s">
        <v>73</v>
      </c>
      <c r="K19" s="80">
        <f>SUMIFS(F2:F71,A2:A71,"川浪",E2:E71,"アルファ")</f>
        <v>0.5</v>
      </c>
      <c r="L19" s="80">
        <f>SUMIFS(F2:F71,A2:A71,"川浪",E2:E71,"アルファ",H2:H71,"完了")</f>
        <v>0.5</v>
      </c>
      <c r="M19" s="80">
        <f t="shared" si="3"/>
        <v>0</v>
      </c>
      <c r="O19" s="96" t="s">
        <v>73</v>
      </c>
      <c r="P19" s="80">
        <f>SUMIFS(F2:F71,A2:A71,"川浪",E2:E71,"ベータ")</f>
        <v>0</v>
      </c>
      <c r="Q19" s="80">
        <f>SUMIFS(F2:F71,A2:A71,"川浪",E2:E71,"ベータ",H2:H71,"完了")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>
        <v>0.2</v>
      </c>
      <c r="H20" s="3" t="s">
        <v>75</v>
      </c>
      <c r="J20" s="97" t="s">
        <v>72</v>
      </c>
      <c r="K20" s="80">
        <f>SUMIFS(F2:F71,A2:A71,"佐々木",E2:E71,"アルファ")</f>
        <v>2</v>
      </c>
      <c r="L20" s="80">
        <f>SUMIFS(F2:F71,A2:A71,"佐々木",E2:E71,"アルファ",H2:H71,"完了")</f>
        <v>1.5</v>
      </c>
      <c r="M20" s="80">
        <f>K20 - L20</f>
        <v>0.5</v>
      </c>
      <c r="O20" s="97" t="s">
        <v>72</v>
      </c>
      <c r="P20" s="80">
        <f>SUMIFS(F2:F71,A2:A71,"佐々木",E2:E71,"ベータ")</f>
        <v>2</v>
      </c>
      <c r="Q20" s="80">
        <f>SUMIFS(F2:F71,A2:A71,"佐々木",E2:E71,"ベータ",H2:H71,"完了")</f>
        <v>1</v>
      </c>
      <c r="R20" s="80">
        <f t="shared" si="4"/>
        <v>1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>
        <v>0.2</v>
      </c>
      <c r="H21" s="3" t="s">
        <v>75</v>
      </c>
      <c r="J21" s="98" t="s">
        <v>74</v>
      </c>
      <c r="K21" s="80">
        <f>SUMIFS(F2:F71,A2:A71,"誰でも",E2:E71,"アルファ")</f>
        <v>3</v>
      </c>
      <c r="L21" s="80">
        <f>SUMIFS(F2:F71,A2:A71,"誰でも",E2:E71,"アルファ",H2:H71,"完了")</f>
        <v>3</v>
      </c>
      <c r="M21" s="80">
        <f t="shared" si="3"/>
        <v>0</v>
      </c>
      <c r="O21" s="98" t="s">
        <v>74</v>
      </c>
      <c r="P21" s="80">
        <f>SUMIFS(F2:F71,A2:A71,"誰でも",E2:E71,"ベータ")</f>
        <v>4</v>
      </c>
      <c r="Q21" s="80">
        <f>SUMIFS(F2:F71,A2:A71,"誰でも",E2:E71,"ベータ",H2:H71,"完了")</f>
        <v>4</v>
      </c>
      <c r="R21" s="80">
        <f t="shared" si="4"/>
        <v>0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>
        <v>0.2</v>
      </c>
      <c r="H22" s="3" t="s">
        <v>75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>
        <v>0.5</v>
      </c>
      <c r="H28" s="3" t="s">
        <v>75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>
        <v>0.5</v>
      </c>
      <c r="H33" s="3" t="s">
        <v>75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>
        <v>1</v>
      </c>
      <c r="H34" s="3" t="s">
        <v>75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>
        <v>1</v>
      </c>
      <c r="H35" s="3" t="s">
        <v>75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6">
        <v>1</v>
      </c>
      <c r="H36" s="3" t="s">
        <v>75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>
        <v>0.5</v>
      </c>
      <c r="H41" s="3" t="s">
        <v>75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>
        <v>0.5</v>
      </c>
      <c r="H43" s="3" t="s">
        <v>75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8"/>
      <c r="C45" s="13" t="s">
        <v>26</v>
      </c>
      <c r="D45" s="3" t="s">
        <v>14</v>
      </c>
      <c r="E45" s="3" t="s">
        <v>9</v>
      </c>
      <c r="F45" s="25">
        <v>0.5</v>
      </c>
      <c r="G45" s="26"/>
      <c r="H45" s="3" t="s">
        <v>76</v>
      </c>
    </row>
    <row r="46" spans="1:16" x14ac:dyDescent="0.4">
      <c r="A46" s="65" t="s">
        <v>72</v>
      </c>
      <c r="B46" s="14" t="s">
        <v>54</v>
      </c>
      <c r="C46" s="20" t="s">
        <v>28</v>
      </c>
      <c r="D46" s="3" t="s">
        <v>7</v>
      </c>
      <c r="E46" s="3" t="s">
        <v>9</v>
      </c>
      <c r="F46" s="25">
        <v>0.5</v>
      </c>
      <c r="G46" s="26">
        <v>0.5</v>
      </c>
      <c r="H46" s="3" t="s">
        <v>75</v>
      </c>
    </row>
    <row r="47" spans="1:16" x14ac:dyDescent="0.4">
      <c r="A47" s="65" t="s">
        <v>72</v>
      </c>
      <c r="B47" s="18"/>
      <c r="C47" s="13" t="s">
        <v>29</v>
      </c>
      <c r="D47" s="3" t="s">
        <v>7</v>
      </c>
      <c r="E47" s="3" t="s">
        <v>9</v>
      </c>
      <c r="F47" s="25">
        <v>0.5</v>
      </c>
      <c r="G47" s="24">
        <v>0.5</v>
      </c>
      <c r="H47" s="3" t="s">
        <v>75</v>
      </c>
    </row>
    <row r="48" spans="1:16" x14ac:dyDescent="0.4">
      <c r="A48" s="65" t="s">
        <v>72</v>
      </c>
      <c r="B48" s="14" t="s">
        <v>55</v>
      </c>
      <c r="C48" s="27" t="s">
        <v>56</v>
      </c>
      <c r="D48" s="3" t="s">
        <v>14</v>
      </c>
      <c r="E48" s="3" t="s">
        <v>8</v>
      </c>
      <c r="F48" s="28">
        <v>1</v>
      </c>
      <c r="G48" s="26">
        <v>0.5</v>
      </c>
      <c r="H48" s="3" t="s">
        <v>75</v>
      </c>
    </row>
    <row r="49" spans="1:8" x14ac:dyDescent="0.4">
      <c r="A49" s="65" t="s">
        <v>72</v>
      </c>
      <c r="B49" s="31" t="s">
        <v>58</v>
      </c>
      <c r="C49" s="32" t="s">
        <v>59</v>
      </c>
      <c r="D49" s="3" t="s">
        <v>14</v>
      </c>
      <c r="E49" s="3" t="s">
        <v>8</v>
      </c>
      <c r="F49" s="33">
        <v>3</v>
      </c>
      <c r="G49" s="34">
        <v>3</v>
      </c>
      <c r="H49" s="3" t="s">
        <v>75</v>
      </c>
    </row>
    <row r="50" spans="1:8" x14ac:dyDescent="0.4">
      <c r="A50" s="65" t="s">
        <v>72</v>
      </c>
      <c r="B50" s="39" t="s">
        <v>60</v>
      </c>
      <c r="C50" s="37" t="s">
        <v>61</v>
      </c>
      <c r="D50" s="35" t="s">
        <v>14</v>
      </c>
      <c r="E50" s="3" t="s">
        <v>63</v>
      </c>
      <c r="F50" s="40">
        <v>1</v>
      </c>
      <c r="G50" s="30"/>
      <c r="H50" s="3" t="s">
        <v>57</v>
      </c>
    </row>
    <row r="51" spans="1:8" x14ac:dyDescent="0.4">
      <c r="A51" s="65" t="s">
        <v>72</v>
      </c>
      <c r="B51" s="42"/>
      <c r="C51" s="38" t="s">
        <v>62</v>
      </c>
      <c r="D51" s="35" t="s">
        <v>14</v>
      </c>
      <c r="E51" s="41" t="s">
        <v>63</v>
      </c>
      <c r="F51" s="40">
        <v>1</v>
      </c>
      <c r="G51" s="30"/>
      <c r="H51" s="3" t="s">
        <v>57</v>
      </c>
    </row>
    <row r="52" spans="1:8" x14ac:dyDescent="0.4">
      <c r="A52" s="68" t="s">
        <v>73</v>
      </c>
      <c r="B52" s="36" t="s">
        <v>53</v>
      </c>
      <c r="C52" s="49" t="s">
        <v>64</v>
      </c>
      <c r="D52" s="43" t="s">
        <v>14</v>
      </c>
      <c r="E52" s="44" t="s">
        <v>8</v>
      </c>
      <c r="F52" s="45">
        <v>0.5</v>
      </c>
      <c r="G52" s="46">
        <v>0.5</v>
      </c>
      <c r="H52" s="44" t="s">
        <v>75</v>
      </c>
    </row>
    <row r="53" spans="1:8" x14ac:dyDescent="0.4">
      <c r="A53" s="68" t="s">
        <v>73</v>
      </c>
      <c r="B53" s="47"/>
      <c r="C53" s="50" t="s">
        <v>65</v>
      </c>
      <c r="D53" s="43" t="s">
        <v>14</v>
      </c>
      <c r="E53" s="44" t="s">
        <v>8</v>
      </c>
      <c r="F53" s="52">
        <v>1</v>
      </c>
      <c r="G53" s="53">
        <v>1</v>
      </c>
      <c r="H53" s="44" t="s">
        <v>75</v>
      </c>
    </row>
    <row r="54" spans="1:8" x14ac:dyDescent="0.4">
      <c r="A54" s="68" t="s">
        <v>73</v>
      </c>
      <c r="B54" s="47"/>
      <c r="C54" s="50" t="s">
        <v>23</v>
      </c>
      <c r="D54" s="43" t="s">
        <v>14</v>
      </c>
      <c r="E54" s="44" t="s">
        <v>8</v>
      </c>
      <c r="F54">
        <v>1</v>
      </c>
      <c r="G54" s="23">
        <v>1</v>
      </c>
      <c r="H54" s="44" t="s">
        <v>75</v>
      </c>
    </row>
    <row r="55" spans="1:8" x14ac:dyDescent="0.4">
      <c r="A55" s="68" t="s">
        <v>73</v>
      </c>
      <c r="B55" s="36" t="s">
        <v>66</v>
      </c>
      <c r="C55" s="49" t="s">
        <v>67</v>
      </c>
      <c r="D55" s="54" t="s">
        <v>14</v>
      </c>
      <c r="E55" s="55" t="s">
        <v>8</v>
      </c>
      <c r="F55" s="45">
        <v>0.5</v>
      </c>
      <c r="G55" s="63">
        <v>0.5</v>
      </c>
      <c r="H55" s="44" t="s">
        <v>75</v>
      </c>
    </row>
    <row r="56" spans="1:8" x14ac:dyDescent="0.4">
      <c r="A56" s="68" t="s">
        <v>73</v>
      </c>
      <c r="B56" s="47"/>
      <c r="C56" s="50" t="s">
        <v>26</v>
      </c>
      <c r="D56" s="58" t="s">
        <v>14</v>
      </c>
      <c r="E56" s="60" t="s">
        <v>8</v>
      </c>
      <c r="F56" s="53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53</v>
      </c>
      <c r="D57" s="57" t="s">
        <v>14</v>
      </c>
      <c r="E57" s="61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47</v>
      </c>
      <c r="D58" s="43" t="s">
        <v>14</v>
      </c>
      <c r="E58" s="59" t="s">
        <v>9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32</v>
      </c>
      <c r="D59" s="43" t="s">
        <v>14</v>
      </c>
      <c r="E59" s="59" t="s">
        <v>8</v>
      </c>
      <c r="F59" s="62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34</v>
      </c>
      <c r="D60" s="43" t="s">
        <v>14</v>
      </c>
      <c r="E60" s="59" t="s">
        <v>8</v>
      </c>
      <c r="F60" s="53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68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8"/>
      <c r="C62" s="51" t="s">
        <v>37</v>
      </c>
      <c r="D62" s="56" t="s">
        <v>14</v>
      </c>
      <c r="E62" s="60" t="s">
        <v>8</v>
      </c>
      <c r="F62" s="53">
        <v>0.5</v>
      </c>
      <c r="G62" s="63">
        <v>0.5</v>
      </c>
      <c r="H62" s="58" t="s">
        <v>75</v>
      </c>
    </row>
    <row r="63" spans="1:8" x14ac:dyDescent="0.4">
      <c r="A63" s="133" t="s">
        <v>103</v>
      </c>
      <c r="B63" s="47" t="s">
        <v>104</v>
      </c>
      <c r="C63" s="50" t="s">
        <v>105</v>
      </c>
      <c r="D63" s="56" t="s">
        <v>14</v>
      </c>
      <c r="E63" s="60" t="s">
        <v>36</v>
      </c>
      <c r="F63" s="64">
        <v>1</v>
      </c>
      <c r="G63" s="134"/>
      <c r="H63" s="58" t="s">
        <v>76</v>
      </c>
    </row>
    <row r="64" spans="1:8" x14ac:dyDescent="0.4">
      <c r="A64" s="69" t="s">
        <v>74</v>
      </c>
      <c r="B64" s="36" t="s">
        <v>69</v>
      </c>
      <c r="C64" s="49" t="s">
        <v>26</v>
      </c>
      <c r="D64" s="56" t="s">
        <v>14</v>
      </c>
      <c r="E64" s="60" t="s">
        <v>8</v>
      </c>
      <c r="F64" s="64">
        <v>1</v>
      </c>
      <c r="G64" s="64">
        <v>1</v>
      </c>
      <c r="H64" s="58" t="s">
        <v>75</v>
      </c>
    </row>
    <row r="65" spans="1:8" x14ac:dyDescent="0.4">
      <c r="A65" s="69" t="s">
        <v>74</v>
      </c>
      <c r="B65" s="47"/>
      <c r="C65" s="50" t="s">
        <v>53</v>
      </c>
      <c r="D65" s="56" t="s">
        <v>14</v>
      </c>
      <c r="E65" s="60" t="s">
        <v>9</v>
      </c>
      <c r="F65" s="64">
        <v>1</v>
      </c>
      <c r="G65" s="53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47</v>
      </c>
      <c r="D66" s="56" t="s">
        <v>14</v>
      </c>
      <c r="E66" s="60" t="s">
        <v>36</v>
      </c>
      <c r="F66" s="64">
        <v>1</v>
      </c>
      <c r="G66" s="62">
        <v>1</v>
      </c>
      <c r="H66" s="58" t="s">
        <v>75</v>
      </c>
    </row>
    <row r="67" spans="1:8" x14ac:dyDescent="0.4">
      <c r="A67" s="69" t="s">
        <v>74</v>
      </c>
      <c r="B67" s="47"/>
      <c r="C67" s="50" t="s">
        <v>35</v>
      </c>
      <c r="D67" s="56" t="s">
        <v>14</v>
      </c>
      <c r="E67" s="60" t="s">
        <v>36</v>
      </c>
      <c r="F67" s="64">
        <v>1</v>
      </c>
      <c r="G67" s="53">
        <v>1</v>
      </c>
      <c r="H67" s="58" t="s">
        <v>75</v>
      </c>
    </row>
    <row r="68" spans="1:8" x14ac:dyDescent="0.4">
      <c r="A68" s="69" t="s">
        <v>74</v>
      </c>
      <c r="B68" s="47"/>
      <c r="C68" s="50" t="s">
        <v>31</v>
      </c>
      <c r="D68" s="56" t="s">
        <v>14</v>
      </c>
      <c r="E68" s="60" t="s">
        <v>36</v>
      </c>
      <c r="F68" s="64">
        <v>1</v>
      </c>
      <c r="G68" s="62">
        <v>1</v>
      </c>
      <c r="H68" s="58" t="s">
        <v>75</v>
      </c>
    </row>
    <row r="69" spans="1:8" x14ac:dyDescent="0.4">
      <c r="A69" s="69" t="s">
        <v>74</v>
      </c>
      <c r="B69" s="47"/>
      <c r="C69" s="50" t="s">
        <v>19</v>
      </c>
      <c r="D69" s="56" t="s">
        <v>14</v>
      </c>
      <c r="E69" s="60" t="s">
        <v>9</v>
      </c>
      <c r="F69" s="64">
        <v>1</v>
      </c>
      <c r="G69" s="53">
        <v>1</v>
      </c>
      <c r="H69" s="58" t="s">
        <v>75</v>
      </c>
    </row>
    <row r="70" spans="1:8" x14ac:dyDescent="0.4">
      <c r="A70" s="69" t="s">
        <v>74</v>
      </c>
      <c r="B70" s="47"/>
      <c r="C70" s="50" t="s">
        <v>52</v>
      </c>
      <c r="D70" s="56" t="s">
        <v>14</v>
      </c>
      <c r="E70" s="60" t="s">
        <v>36</v>
      </c>
      <c r="F70" s="64">
        <v>1</v>
      </c>
      <c r="G70" s="53">
        <v>1</v>
      </c>
      <c r="H70" s="58" t="s">
        <v>75</v>
      </c>
    </row>
    <row r="71" spans="1:8" x14ac:dyDescent="0.4">
      <c r="A71" s="69" t="s">
        <v>74</v>
      </c>
      <c r="B71" s="48"/>
      <c r="C71" s="51" t="s">
        <v>67</v>
      </c>
      <c r="D71" s="56" t="s">
        <v>14</v>
      </c>
      <c r="E71" s="60" t="s">
        <v>9</v>
      </c>
      <c r="F71" s="26">
        <v>1</v>
      </c>
      <c r="G71" s="73">
        <v>1</v>
      </c>
      <c r="H71" s="58" t="s">
        <v>75</v>
      </c>
    </row>
  </sheetData>
  <phoneticPr fontId="2"/>
  <dataValidations count="3">
    <dataValidation type="list" allowBlank="1" showInputMessage="1" showErrorMessage="1" sqref="H2:H71" xr:uid="{6668A6B0-AE49-40A9-BDCA-1EF7E08764AB}">
      <formula1>"未着手,作業中,完了"</formula1>
    </dataValidation>
    <dataValidation type="list" allowBlank="1" showInputMessage="1" showErrorMessage="1" sqref="E2:E71" xr:uid="{3F25CF45-EEFF-4838-8184-2DB508A95967}">
      <formula1>"プロト,アルファ,ベータ,マスタ"</formula1>
    </dataValidation>
    <dataValidation type="list" allowBlank="1" showInputMessage="1" showErrorMessage="1" sqref="D2:D71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上永　歩睦</cp:lastModifiedBy>
  <dcterms:created xsi:type="dcterms:W3CDTF">2026-02-05T12:39:00Z</dcterms:created>
  <dcterms:modified xsi:type="dcterms:W3CDTF">2026-03-13T09:56:00Z</dcterms:modified>
</cp:coreProperties>
</file>