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205h\Desktop\"/>
    </mc:Choice>
  </mc:AlternateContent>
  <xr:revisionPtr revIDLastSave="0" documentId="8_{56AD5349-1D14-4901-8A9B-94282FF142AE}" xr6:coauthVersionLast="47" xr6:coauthVersionMax="47" xr10:uidLastSave="{00000000-0000-0000-0000-000000000000}"/>
  <bookViews>
    <workbookView xWindow="-105" yWindow="0" windowWidth="19410" windowHeight="15585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" i="1" l="1"/>
  <c r="K12" i="1" s="1"/>
  <c r="K9" i="1"/>
  <c r="K8" i="1"/>
  <c r="K7" i="1"/>
  <c r="K6" i="1"/>
  <c r="K5" i="1"/>
  <c r="K4" i="1"/>
  <c r="K3" i="1" l="1"/>
  <c r="L7" i="1" s="1"/>
  <c r="L8" i="1" l="1"/>
</calcChain>
</file>

<file path=xl/sharedStrings.xml><?xml version="1.0" encoding="utf-8"?>
<sst xmlns="http://schemas.openxmlformats.org/spreadsheetml/2006/main" count="322" uniqueCount="80">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</sst>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95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0" xfId="0" applyBorder="1">
      <alignment vertical="center"/>
    </xf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0" borderId="36" xfId="0" applyBorder="1">
      <alignment vertical="center"/>
    </xf>
    <xf numFmtId="0" fontId="0" fillId="10" borderId="29" xfId="0" applyFill="1" applyBorder="1">
      <alignment vertical="center"/>
    </xf>
    <xf numFmtId="0" fontId="0" fillId="0" borderId="30" xfId="0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0" borderId="42" xfId="0" applyBorder="1">
      <alignment vertical="center"/>
    </xf>
    <xf numFmtId="0" fontId="0" fillId="3" borderId="4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6" xfId="0" applyBorder="1">
      <alignment vertical="center"/>
    </xf>
    <xf numFmtId="0" fontId="0" fillId="0" borderId="31" xfId="0" applyBorder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4"/>
  <sheetViews>
    <sheetView tabSelected="1" workbookViewId="0">
      <selection activeCell="J16" sqref="J16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7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6"/>
      <c r="J2" s="15"/>
      <c r="K2" s="3"/>
      <c r="L2" s="3"/>
    </row>
    <row r="3" spans="1:12" x14ac:dyDescent="0.4">
      <c r="B3" s="10" t="s">
        <v>16</v>
      </c>
      <c r="C3" s="8" t="s">
        <v>21</v>
      </c>
      <c r="D3" s="4" t="s">
        <v>17</v>
      </c>
      <c r="E3" s="4" t="s">
        <v>8</v>
      </c>
      <c r="F3" s="4"/>
      <c r="G3" s="4"/>
      <c r="H3" s="4" t="s">
        <v>63</v>
      </c>
      <c r="I3" s="44"/>
      <c r="J3" s="16" t="s">
        <v>9</v>
      </c>
      <c r="K3" s="3">
        <f>SUM(K4,K5,K6)</f>
        <v>68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4"/>
      <c r="G4" s="4"/>
      <c r="H4" s="4" t="s">
        <v>63</v>
      </c>
      <c r="I4" s="44"/>
      <c r="J4" s="17" t="s">
        <v>11</v>
      </c>
      <c r="K4" s="5">
        <f>COUNTIF(E3:E72,J4)</f>
        <v>39</v>
      </c>
      <c r="L4" s="3"/>
    </row>
    <row r="5" spans="1:12" x14ac:dyDescent="0.4">
      <c r="A5" s="12"/>
      <c r="B5" s="9"/>
      <c r="C5" s="8" t="s">
        <v>23</v>
      </c>
      <c r="D5" s="4" t="s">
        <v>17</v>
      </c>
      <c r="E5" s="4" t="s">
        <v>8</v>
      </c>
      <c r="F5" s="4"/>
      <c r="G5" s="4"/>
      <c r="H5" s="4" t="s">
        <v>63</v>
      </c>
      <c r="I5" s="44"/>
      <c r="J5" s="18" t="s">
        <v>12</v>
      </c>
      <c r="K5" s="5">
        <f>COUNTIF(E3:E72,J5)</f>
        <v>11</v>
      </c>
      <c r="L5" s="3"/>
    </row>
    <row r="6" spans="1:12" x14ac:dyDescent="0.4">
      <c r="A6" s="12"/>
      <c r="B6" s="13"/>
      <c r="C6" s="27" t="s">
        <v>24</v>
      </c>
      <c r="D6" s="4" t="s">
        <v>17</v>
      </c>
      <c r="E6" s="4" t="s">
        <v>8</v>
      </c>
      <c r="F6" s="4"/>
      <c r="G6" s="4"/>
      <c r="H6" s="4" t="s">
        <v>63</v>
      </c>
      <c r="I6" s="44"/>
      <c r="J6" s="19" t="s">
        <v>13</v>
      </c>
      <c r="K6" s="5">
        <f>COUNTIF(E3:E72,J6)</f>
        <v>18</v>
      </c>
      <c r="L6" s="3"/>
    </row>
    <row r="7" spans="1:12" x14ac:dyDescent="0.4">
      <c r="A7" s="12"/>
      <c r="B7" s="9" t="s">
        <v>32</v>
      </c>
      <c r="C7" s="8" t="s">
        <v>25</v>
      </c>
      <c r="D7" s="4" t="s">
        <v>17</v>
      </c>
      <c r="E7" s="4" t="s">
        <v>10</v>
      </c>
      <c r="F7" s="4"/>
      <c r="G7" s="4"/>
      <c r="H7" s="4" t="s">
        <v>63</v>
      </c>
      <c r="I7" s="44"/>
      <c r="J7" s="20" t="s">
        <v>14</v>
      </c>
      <c r="K7" s="5">
        <f>COUNTIF(H3:H72,J7)</f>
        <v>0</v>
      </c>
      <c r="L7" s="6">
        <f>K7/K3</f>
        <v>0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4"/>
      <c r="G8" s="4"/>
      <c r="H8" s="4" t="s">
        <v>63</v>
      </c>
      <c r="I8" s="44"/>
      <c r="J8" s="21" t="s">
        <v>15</v>
      </c>
      <c r="K8" s="5">
        <f>COUNTIF(H3:H72,J8)</f>
        <v>70</v>
      </c>
      <c r="L8" s="7">
        <f>(K8+K9)/K3</f>
        <v>1.0294117647058822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4"/>
      <c r="G9" s="4"/>
      <c r="H9" s="48" t="s">
        <v>63</v>
      </c>
      <c r="I9" s="49"/>
      <c r="J9" s="16" t="s">
        <v>18</v>
      </c>
      <c r="K9" s="3">
        <f>COUNTIF(H3:H72,J9)</f>
        <v>0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4"/>
      <c r="G10" s="4"/>
      <c r="H10" s="4" t="s">
        <v>63</v>
      </c>
      <c r="I10" s="50"/>
      <c r="J10" s="15"/>
      <c r="K10" s="3"/>
      <c r="L10" s="3"/>
    </row>
    <row r="11" spans="1:12" x14ac:dyDescent="0.4">
      <c r="B11" s="9"/>
      <c r="C11" s="8" t="s">
        <v>29</v>
      </c>
      <c r="D11" s="4" t="s">
        <v>17</v>
      </c>
      <c r="E11" s="4" t="s">
        <v>8</v>
      </c>
      <c r="F11" s="4"/>
      <c r="G11" s="4"/>
      <c r="H11" s="4" t="s">
        <v>63</v>
      </c>
      <c r="I11" s="44"/>
      <c r="J11" s="22" t="s">
        <v>19</v>
      </c>
      <c r="K11" s="3">
        <f>SUM(F3:F72)</f>
        <v>0</v>
      </c>
      <c r="L11" s="3"/>
    </row>
    <row r="12" spans="1:12" x14ac:dyDescent="0.4">
      <c r="B12" s="13"/>
      <c r="C12" s="27" t="s">
        <v>30</v>
      </c>
      <c r="D12" s="4" t="s">
        <v>17</v>
      </c>
      <c r="E12" s="4" t="s">
        <v>8</v>
      </c>
      <c r="F12" s="4"/>
      <c r="G12" s="4"/>
      <c r="H12" s="4" t="s">
        <v>63</v>
      </c>
      <c r="I12" s="45"/>
      <c r="J12" s="23" t="s">
        <v>20</v>
      </c>
      <c r="K12" s="3">
        <f>8*K11</f>
        <v>0</v>
      </c>
      <c r="L12" s="3"/>
    </row>
    <row r="13" spans="1:12" x14ac:dyDescent="0.4">
      <c r="B13" s="24" t="s">
        <v>33</v>
      </c>
      <c r="C13" s="8" t="s">
        <v>34</v>
      </c>
      <c r="D13" s="4" t="s">
        <v>17</v>
      </c>
      <c r="E13" s="4" t="s">
        <v>8</v>
      </c>
      <c r="F13" s="4"/>
      <c r="G13" s="4"/>
      <c r="H13" s="4" t="s">
        <v>63</v>
      </c>
    </row>
    <row r="14" spans="1:12" x14ac:dyDescent="0.4">
      <c r="B14" s="25"/>
      <c r="C14" s="8" t="s">
        <v>35</v>
      </c>
      <c r="D14" s="4" t="s">
        <v>17</v>
      </c>
      <c r="E14" s="4" t="s">
        <v>8</v>
      </c>
      <c r="F14" s="4"/>
      <c r="G14" s="4"/>
      <c r="H14" s="4" t="s">
        <v>63</v>
      </c>
    </row>
    <row r="15" spans="1:12" x14ac:dyDescent="0.4">
      <c r="B15" s="26"/>
      <c r="C15" s="27" t="s">
        <v>36</v>
      </c>
      <c r="D15" s="4" t="s">
        <v>17</v>
      </c>
      <c r="E15" s="4" t="s">
        <v>8</v>
      </c>
      <c r="F15" s="4"/>
      <c r="G15" s="4"/>
      <c r="H15" s="4" t="s">
        <v>63</v>
      </c>
    </row>
    <row r="16" spans="1:12" x14ac:dyDescent="0.4">
      <c r="B16" s="28" t="s">
        <v>37</v>
      </c>
      <c r="C16" s="34" t="s">
        <v>38</v>
      </c>
      <c r="D16" s="4" t="s">
        <v>17</v>
      </c>
      <c r="E16" s="4" t="s">
        <v>42</v>
      </c>
      <c r="F16" s="36"/>
      <c r="G16" s="36"/>
      <c r="H16" s="4" t="s">
        <v>63</v>
      </c>
    </row>
    <row r="17" spans="2:9" x14ac:dyDescent="0.4">
      <c r="B17" s="31"/>
      <c r="C17" s="35" t="s">
        <v>39</v>
      </c>
      <c r="D17" s="4" t="s">
        <v>17</v>
      </c>
      <c r="E17" s="4" t="s">
        <v>42</v>
      </c>
      <c r="F17" s="40"/>
      <c r="G17" s="40"/>
      <c r="H17" s="4" t="s">
        <v>63</v>
      </c>
      <c r="I17" s="11"/>
    </row>
    <row r="18" spans="2:9" x14ac:dyDescent="0.4">
      <c r="B18" s="31"/>
      <c r="C18" s="35" t="s">
        <v>40</v>
      </c>
      <c r="D18" s="4" t="s">
        <v>17</v>
      </c>
      <c r="E18" s="4" t="s">
        <v>42</v>
      </c>
      <c r="F18" s="38"/>
      <c r="G18" s="38"/>
      <c r="H18" s="4" t="s">
        <v>63</v>
      </c>
    </row>
    <row r="19" spans="2:9" x14ac:dyDescent="0.4">
      <c r="B19" s="32"/>
      <c r="C19" s="27" t="s">
        <v>32</v>
      </c>
      <c r="D19" s="4" t="s">
        <v>17</v>
      </c>
      <c r="E19" s="4" t="s">
        <v>42</v>
      </c>
      <c r="F19" s="38"/>
      <c r="G19" s="38"/>
      <c r="H19" s="4" t="s">
        <v>63</v>
      </c>
    </row>
    <row r="20" spans="2:9" x14ac:dyDescent="0.4">
      <c r="B20" s="28" t="s">
        <v>41</v>
      </c>
      <c r="C20" s="34" t="s">
        <v>38</v>
      </c>
      <c r="D20" s="4" t="s">
        <v>17</v>
      </c>
      <c r="E20" s="4" t="s">
        <v>42</v>
      </c>
      <c r="F20" s="36"/>
      <c r="G20" s="36"/>
      <c r="H20" s="4" t="s">
        <v>63</v>
      </c>
    </row>
    <row r="21" spans="2:9" x14ac:dyDescent="0.4">
      <c r="B21" s="31"/>
      <c r="C21" s="35" t="s">
        <v>39</v>
      </c>
      <c r="D21" s="4" t="s">
        <v>17</v>
      </c>
      <c r="E21" s="4" t="s">
        <v>42</v>
      </c>
      <c r="F21" s="40"/>
      <c r="G21" s="40"/>
      <c r="H21" s="4" t="s">
        <v>63</v>
      </c>
    </row>
    <row r="22" spans="2:9" x14ac:dyDescent="0.4">
      <c r="B22" s="32"/>
      <c r="C22" s="27" t="s">
        <v>40</v>
      </c>
      <c r="D22" s="4" t="s">
        <v>17</v>
      </c>
      <c r="E22" s="4" t="s">
        <v>42</v>
      </c>
      <c r="F22" s="38"/>
      <c r="G22" s="38"/>
      <c r="H22" s="4" t="s">
        <v>63</v>
      </c>
    </row>
    <row r="23" spans="2:9" x14ac:dyDescent="0.4">
      <c r="B23" s="28" t="s">
        <v>43</v>
      </c>
      <c r="C23" s="34" t="s">
        <v>44</v>
      </c>
      <c r="D23" s="4" t="s">
        <v>17</v>
      </c>
      <c r="E23" s="4" t="s">
        <v>8</v>
      </c>
      <c r="F23" s="36"/>
      <c r="G23" s="30"/>
      <c r="H23" s="4" t="s">
        <v>63</v>
      </c>
    </row>
    <row r="24" spans="2:9" x14ac:dyDescent="0.4">
      <c r="B24" s="31"/>
      <c r="C24" s="35" t="s">
        <v>45</v>
      </c>
      <c r="D24" s="4" t="s">
        <v>17</v>
      </c>
      <c r="E24" s="4" t="s">
        <v>8</v>
      </c>
      <c r="F24" s="40"/>
      <c r="G24" s="43"/>
      <c r="H24" s="4" t="s">
        <v>63</v>
      </c>
    </row>
    <row r="25" spans="2:9" x14ac:dyDescent="0.4">
      <c r="B25" s="31"/>
      <c r="C25" s="35" t="s">
        <v>46</v>
      </c>
      <c r="D25" s="4" t="s">
        <v>17</v>
      </c>
      <c r="E25" s="4" t="s">
        <v>8</v>
      </c>
      <c r="F25" s="37"/>
      <c r="G25" s="12"/>
      <c r="H25" s="4" t="s">
        <v>63</v>
      </c>
    </row>
    <row r="26" spans="2:9" x14ac:dyDescent="0.4">
      <c r="B26" s="31"/>
      <c r="C26" s="35" t="s">
        <v>28</v>
      </c>
      <c r="D26" s="4" t="s">
        <v>17</v>
      </c>
      <c r="E26" s="4" t="s">
        <v>8</v>
      </c>
      <c r="F26" s="40"/>
      <c r="G26" s="43"/>
      <c r="H26" s="4" t="s">
        <v>63</v>
      </c>
    </row>
    <row r="27" spans="2:9" x14ac:dyDescent="0.4">
      <c r="B27" s="31"/>
      <c r="C27" s="35" t="s">
        <v>47</v>
      </c>
      <c r="D27" s="4" t="s">
        <v>17</v>
      </c>
      <c r="E27" s="4" t="s">
        <v>8</v>
      </c>
      <c r="F27" s="40"/>
      <c r="G27" s="43"/>
      <c r="H27" s="4" t="s">
        <v>63</v>
      </c>
    </row>
    <row r="28" spans="2:9" x14ac:dyDescent="0.4">
      <c r="B28" s="32"/>
      <c r="C28" s="27" t="s">
        <v>48</v>
      </c>
      <c r="D28" s="4" t="s">
        <v>7</v>
      </c>
      <c r="E28" s="4" t="s">
        <v>42</v>
      </c>
      <c r="F28" s="38"/>
      <c r="G28" s="33"/>
      <c r="H28" s="4" t="s">
        <v>63</v>
      </c>
    </row>
    <row r="29" spans="2:9" x14ac:dyDescent="0.4">
      <c r="B29" s="28" t="s">
        <v>49</v>
      </c>
      <c r="C29" s="34" t="s">
        <v>30</v>
      </c>
      <c r="D29" s="4" t="s">
        <v>17</v>
      </c>
      <c r="E29" s="4" t="s">
        <v>8</v>
      </c>
      <c r="F29" s="30"/>
      <c r="G29" s="36"/>
      <c r="H29" s="4" t="s">
        <v>63</v>
      </c>
    </row>
    <row r="30" spans="2:9" x14ac:dyDescent="0.4">
      <c r="B30" s="31"/>
      <c r="C30" s="35" t="s">
        <v>50</v>
      </c>
      <c r="D30" s="4" t="s">
        <v>17</v>
      </c>
      <c r="E30" s="4" t="s">
        <v>8</v>
      </c>
      <c r="F30" s="40"/>
      <c r="G30" s="40"/>
      <c r="H30" s="4" t="s">
        <v>63</v>
      </c>
    </row>
    <row r="31" spans="2:9" x14ac:dyDescent="0.4">
      <c r="B31" s="31"/>
      <c r="C31" s="35" t="s">
        <v>51</v>
      </c>
      <c r="D31" s="4" t="s">
        <v>17</v>
      </c>
      <c r="E31" s="4" t="s">
        <v>8</v>
      </c>
      <c r="F31" s="40"/>
      <c r="G31" s="40"/>
      <c r="H31" s="4" t="s">
        <v>63</v>
      </c>
    </row>
    <row r="32" spans="2:9" x14ac:dyDescent="0.4">
      <c r="B32" s="32"/>
      <c r="C32" s="27" t="s">
        <v>52</v>
      </c>
      <c r="D32" s="4" t="s">
        <v>17</v>
      </c>
      <c r="E32" s="4" t="s">
        <v>8</v>
      </c>
      <c r="F32" s="33"/>
      <c r="G32" s="38"/>
      <c r="H32" s="4" t="s">
        <v>63</v>
      </c>
    </row>
    <row r="33" spans="2:8" x14ac:dyDescent="0.4">
      <c r="B33" s="28" t="s">
        <v>53</v>
      </c>
      <c r="C33" s="34" t="s">
        <v>54</v>
      </c>
      <c r="D33" s="4" t="s">
        <v>17</v>
      </c>
      <c r="E33" s="4" t="s">
        <v>42</v>
      </c>
      <c r="F33" s="36"/>
      <c r="G33" s="36"/>
      <c r="H33" s="4" t="s">
        <v>63</v>
      </c>
    </row>
    <row r="34" spans="2:8" x14ac:dyDescent="0.4">
      <c r="B34" s="31"/>
      <c r="C34" s="35" t="s">
        <v>38</v>
      </c>
      <c r="D34" s="4" t="s">
        <v>17</v>
      </c>
      <c r="E34" s="4" t="s">
        <v>42</v>
      </c>
      <c r="F34" s="40"/>
      <c r="G34" s="40"/>
      <c r="H34" s="4" t="s">
        <v>63</v>
      </c>
    </row>
    <row r="35" spans="2:8" x14ac:dyDescent="0.4">
      <c r="B35" s="31"/>
      <c r="C35" s="35" t="s">
        <v>39</v>
      </c>
      <c r="D35" s="4" t="s">
        <v>17</v>
      </c>
      <c r="E35" s="4" t="s">
        <v>42</v>
      </c>
      <c r="F35" s="40"/>
      <c r="G35" s="40"/>
      <c r="H35" s="4" t="s">
        <v>63</v>
      </c>
    </row>
    <row r="36" spans="2:8" x14ac:dyDescent="0.4">
      <c r="B36" s="32"/>
      <c r="C36" s="27" t="s">
        <v>40</v>
      </c>
      <c r="D36" s="4" t="s">
        <v>17</v>
      </c>
      <c r="E36" s="4" t="s">
        <v>42</v>
      </c>
      <c r="F36" s="38"/>
      <c r="G36" s="38"/>
      <c r="H36" s="4" t="s">
        <v>63</v>
      </c>
    </row>
    <row r="37" spans="2:8" x14ac:dyDescent="0.4">
      <c r="B37" s="28" t="s">
        <v>55</v>
      </c>
      <c r="C37" s="34" t="s">
        <v>38</v>
      </c>
      <c r="D37" s="4" t="s">
        <v>17</v>
      </c>
      <c r="E37" s="4" t="s">
        <v>10</v>
      </c>
      <c r="F37" s="29"/>
      <c r="G37" s="36"/>
      <c r="H37" s="4" t="s">
        <v>63</v>
      </c>
    </row>
    <row r="38" spans="2:8" x14ac:dyDescent="0.4">
      <c r="B38" s="31"/>
      <c r="C38" s="35" t="s">
        <v>39</v>
      </c>
      <c r="D38" s="4" t="s">
        <v>17</v>
      </c>
      <c r="E38" s="4" t="s">
        <v>10</v>
      </c>
      <c r="F38" s="39"/>
      <c r="G38" s="40"/>
      <c r="H38" s="4" t="s">
        <v>63</v>
      </c>
    </row>
    <row r="39" spans="2:8" x14ac:dyDescent="0.4">
      <c r="B39" s="31"/>
      <c r="C39" s="35" t="s">
        <v>40</v>
      </c>
      <c r="D39" s="4" t="s">
        <v>17</v>
      </c>
      <c r="E39" s="4" t="s">
        <v>10</v>
      </c>
      <c r="F39" s="39"/>
      <c r="G39" s="40"/>
      <c r="H39" s="4" t="s">
        <v>63</v>
      </c>
    </row>
    <row r="40" spans="2:8" x14ac:dyDescent="0.4">
      <c r="B40" s="32"/>
      <c r="C40" s="27" t="s">
        <v>56</v>
      </c>
      <c r="D40" s="4" t="s">
        <v>17</v>
      </c>
      <c r="E40" s="4" t="s">
        <v>8</v>
      </c>
      <c r="F40" s="14"/>
      <c r="G40" s="38"/>
      <c r="H40" s="4" t="s">
        <v>63</v>
      </c>
    </row>
    <row r="41" spans="2:8" x14ac:dyDescent="0.4">
      <c r="B41" s="28" t="s">
        <v>57</v>
      </c>
      <c r="C41" s="34" t="s">
        <v>58</v>
      </c>
      <c r="D41" s="4" t="s">
        <v>7</v>
      </c>
      <c r="E41" s="4" t="s">
        <v>42</v>
      </c>
      <c r="F41" s="29"/>
      <c r="G41" s="36"/>
      <c r="H41" s="4" t="s">
        <v>63</v>
      </c>
    </row>
    <row r="42" spans="2:8" x14ac:dyDescent="0.4">
      <c r="B42" s="31"/>
      <c r="C42" s="35" t="s">
        <v>38</v>
      </c>
      <c r="D42" s="4" t="s">
        <v>7</v>
      </c>
      <c r="E42" s="4" t="s">
        <v>42</v>
      </c>
      <c r="F42" s="39"/>
      <c r="G42" s="40"/>
      <c r="H42" s="4" t="s">
        <v>63</v>
      </c>
    </row>
    <row r="43" spans="2:8" x14ac:dyDescent="0.4">
      <c r="B43" s="31"/>
      <c r="C43" s="35" t="s">
        <v>39</v>
      </c>
      <c r="D43" s="4" t="s">
        <v>17</v>
      </c>
      <c r="E43" s="4" t="s">
        <v>10</v>
      </c>
      <c r="F43" s="11"/>
      <c r="G43" s="37"/>
      <c r="H43" s="4" t="s">
        <v>63</v>
      </c>
    </row>
    <row r="44" spans="2:8" x14ac:dyDescent="0.4">
      <c r="B44" s="31"/>
      <c r="C44" s="35" t="s">
        <v>40</v>
      </c>
      <c r="D44" s="4" t="s">
        <v>7</v>
      </c>
      <c r="E44" s="4" t="s">
        <v>42</v>
      </c>
      <c r="F44" s="39"/>
      <c r="G44" s="40"/>
      <c r="H44" s="4" t="s">
        <v>63</v>
      </c>
    </row>
    <row r="45" spans="2:8" x14ac:dyDescent="0.4">
      <c r="B45" s="31"/>
      <c r="C45" s="35" t="s">
        <v>59</v>
      </c>
      <c r="D45" s="4" t="s">
        <v>17</v>
      </c>
      <c r="E45" s="4" t="s">
        <v>10</v>
      </c>
      <c r="F45" s="11"/>
      <c r="G45" s="37"/>
      <c r="H45" s="4" t="s">
        <v>63</v>
      </c>
    </row>
    <row r="46" spans="2:8" x14ac:dyDescent="0.4">
      <c r="B46" s="32"/>
      <c r="C46" s="27" t="s">
        <v>32</v>
      </c>
      <c r="D46" s="4" t="s">
        <v>17</v>
      </c>
      <c r="E46" s="4" t="s">
        <v>10</v>
      </c>
      <c r="F46" s="39"/>
      <c r="G46" s="40"/>
      <c r="H46" s="4" t="s">
        <v>63</v>
      </c>
    </row>
    <row r="47" spans="2:8" x14ac:dyDescent="0.4">
      <c r="B47" s="28" t="s">
        <v>60</v>
      </c>
      <c r="C47" s="34" t="s">
        <v>34</v>
      </c>
      <c r="D47" s="4" t="s">
        <v>7</v>
      </c>
      <c r="E47" s="4" t="s">
        <v>10</v>
      </c>
      <c r="F47" s="39"/>
      <c r="G47" s="40"/>
      <c r="H47" s="4" t="s">
        <v>63</v>
      </c>
    </row>
    <row r="48" spans="2:8" x14ac:dyDescent="0.4">
      <c r="B48" s="32"/>
      <c r="C48" s="27" t="s">
        <v>35</v>
      </c>
      <c r="D48" s="4" t="s">
        <v>7</v>
      </c>
      <c r="E48" s="4" t="s">
        <v>10</v>
      </c>
      <c r="F48" s="14"/>
      <c r="G48" s="38"/>
      <c r="H48" s="4" t="s">
        <v>63</v>
      </c>
    </row>
    <row r="49" spans="2:8" x14ac:dyDescent="0.4">
      <c r="B49" s="28" t="s">
        <v>61</v>
      </c>
      <c r="C49" s="41" t="s">
        <v>62</v>
      </c>
      <c r="D49" s="4" t="s">
        <v>17</v>
      </c>
      <c r="E49" s="4" t="s">
        <v>8</v>
      </c>
      <c r="F49" s="42"/>
      <c r="G49" s="40"/>
      <c r="H49" s="4" t="s">
        <v>63</v>
      </c>
    </row>
    <row r="50" spans="2:8" x14ac:dyDescent="0.4">
      <c r="B50" s="52" t="s">
        <v>64</v>
      </c>
      <c r="C50" s="53" t="s">
        <v>65</v>
      </c>
      <c r="D50" s="4" t="s">
        <v>17</v>
      </c>
      <c r="E50" s="4" t="s">
        <v>8</v>
      </c>
      <c r="F50" s="54"/>
      <c r="G50" s="55"/>
      <c r="H50" s="4" t="s">
        <v>63</v>
      </c>
    </row>
    <row r="51" spans="2:8" x14ac:dyDescent="0.4">
      <c r="B51" s="60" t="s">
        <v>66</v>
      </c>
      <c r="C51" s="58" t="s">
        <v>67</v>
      </c>
      <c r="D51" s="56" t="s">
        <v>17</v>
      </c>
      <c r="E51" s="4" t="s">
        <v>69</v>
      </c>
      <c r="F51" s="62"/>
      <c r="G51" s="51"/>
      <c r="H51" s="4" t="s">
        <v>63</v>
      </c>
    </row>
    <row r="52" spans="2:8" x14ac:dyDescent="0.4">
      <c r="B52" s="65"/>
      <c r="C52" s="59" t="s">
        <v>68</v>
      </c>
      <c r="D52" s="56" t="s">
        <v>17</v>
      </c>
      <c r="E52" s="63" t="s">
        <v>69</v>
      </c>
      <c r="F52" s="64"/>
      <c r="G52" s="51"/>
      <c r="H52" s="4" t="s">
        <v>63</v>
      </c>
    </row>
    <row r="53" spans="2:8" x14ac:dyDescent="0.4">
      <c r="B53" s="60" t="s">
        <v>70</v>
      </c>
      <c r="C53" s="58" t="s">
        <v>71</v>
      </c>
      <c r="D53" s="56" t="s">
        <v>17</v>
      </c>
      <c r="E53" s="63" t="s">
        <v>8</v>
      </c>
      <c r="F53" s="64"/>
      <c r="G53" s="51"/>
      <c r="H53" s="4" t="s">
        <v>63</v>
      </c>
    </row>
    <row r="54" spans="2:8" x14ac:dyDescent="0.4">
      <c r="B54" s="66"/>
      <c r="C54" s="67" t="s">
        <v>72</v>
      </c>
      <c r="D54" s="68" t="s">
        <v>17</v>
      </c>
      <c r="E54" s="69" t="s">
        <v>8</v>
      </c>
      <c r="F54" s="11"/>
      <c r="G54" s="37"/>
      <c r="H54" s="69" t="s">
        <v>63</v>
      </c>
    </row>
    <row r="55" spans="2:8" x14ac:dyDescent="0.4">
      <c r="B55" s="57" t="s">
        <v>59</v>
      </c>
      <c r="C55" s="76" t="s">
        <v>73</v>
      </c>
      <c r="D55" s="68" t="s">
        <v>17</v>
      </c>
      <c r="E55" s="69" t="s">
        <v>8</v>
      </c>
      <c r="F55" s="70"/>
      <c r="G55" s="71"/>
      <c r="H55" s="69" t="s">
        <v>63</v>
      </c>
    </row>
    <row r="56" spans="2:8" x14ac:dyDescent="0.4">
      <c r="B56" s="72"/>
      <c r="C56" s="77" t="s">
        <v>74</v>
      </c>
      <c r="D56" s="68" t="s">
        <v>17</v>
      </c>
      <c r="E56" s="69" t="s">
        <v>8</v>
      </c>
      <c r="F56" s="80"/>
      <c r="G56" s="81"/>
      <c r="H56" s="69" t="s">
        <v>63</v>
      </c>
    </row>
    <row r="57" spans="2:8" x14ac:dyDescent="0.4">
      <c r="B57" s="72"/>
      <c r="C57" s="77" t="s">
        <v>75</v>
      </c>
      <c r="D57" s="68" t="s">
        <v>17</v>
      </c>
      <c r="E57" s="69" t="s">
        <v>8</v>
      </c>
      <c r="F57" s="80"/>
      <c r="G57" s="79"/>
      <c r="H57" s="69" t="s">
        <v>63</v>
      </c>
    </row>
    <row r="58" spans="2:8" x14ac:dyDescent="0.4">
      <c r="B58" s="72"/>
      <c r="C58" s="77" t="s">
        <v>29</v>
      </c>
      <c r="D58" s="68" t="s">
        <v>17</v>
      </c>
      <c r="E58" s="69" t="s">
        <v>8</v>
      </c>
      <c r="F58" s="11"/>
      <c r="G58" s="37"/>
      <c r="H58" s="69" t="s">
        <v>63</v>
      </c>
    </row>
    <row r="59" spans="2:8" x14ac:dyDescent="0.4">
      <c r="B59" s="57" t="s">
        <v>76</v>
      </c>
      <c r="C59" s="76" t="s">
        <v>77</v>
      </c>
      <c r="D59" s="83" t="s">
        <v>17</v>
      </c>
      <c r="E59" s="84" t="s">
        <v>8</v>
      </c>
      <c r="F59" s="70"/>
      <c r="G59" s="93"/>
      <c r="H59" s="69" t="s">
        <v>63</v>
      </c>
    </row>
    <row r="60" spans="2:8" x14ac:dyDescent="0.4">
      <c r="B60" s="72"/>
      <c r="C60" s="77" t="s">
        <v>32</v>
      </c>
      <c r="D60" s="87" t="s">
        <v>17</v>
      </c>
      <c r="E60" s="90" t="s">
        <v>8</v>
      </c>
      <c r="F60" s="81"/>
      <c r="G60" s="88"/>
      <c r="H60" s="69" t="s">
        <v>63</v>
      </c>
    </row>
    <row r="61" spans="2:8" x14ac:dyDescent="0.4">
      <c r="B61" s="72"/>
      <c r="C61" s="77" t="s">
        <v>59</v>
      </c>
      <c r="D61" s="86" t="s">
        <v>17</v>
      </c>
      <c r="E61" s="91" t="s">
        <v>8</v>
      </c>
      <c r="F61" s="81"/>
      <c r="G61" s="82"/>
      <c r="H61" s="69" t="s">
        <v>63</v>
      </c>
    </row>
    <row r="62" spans="2:8" x14ac:dyDescent="0.4">
      <c r="B62" s="72"/>
      <c r="C62" s="77" t="s">
        <v>53</v>
      </c>
      <c r="D62" s="68" t="s">
        <v>17</v>
      </c>
      <c r="E62" s="89" t="s">
        <v>8</v>
      </c>
      <c r="F62" s="81"/>
      <c r="G62" s="82"/>
      <c r="H62" s="69" t="s">
        <v>63</v>
      </c>
    </row>
    <row r="63" spans="2:8" x14ac:dyDescent="0.4">
      <c r="B63" s="72"/>
      <c r="C63" s="77" t="s">
        <v>38</v>
      </c>
      <c r="D63" s="68" t="s">
        <v>17</v>
      </c>
      <c r="E63" s="89" t="s">
        <v>8</v>
      </c>
      <c r="F63" s="92"/>
      <c r="G63" s="73"/>
      <c r="H63" s="69" t="s">
        <v>63</v>
      </c>
    </row>
    <row r="64" spans="2:8" x14ac:dyDescent="0.4">
      <c r="B64" s="72"/>
      <c r="C64" s="77" t="s">
        <v>40</v>
      </c>
      <c r="D64" s="68" t="s">
        <v>17</v>
      </c>
      <c r="E64" s="89" t="s">
        <v>8</v>
      </c>
      <c r="F64" s="81"/>
      <c r="G64" s="82"/>
      <c r="H64" s="69" t="s">
        <v>63</v>
      </c>
    </row>
    <row r="65" spans="2:8" x14ac:dyDescent="0.4">
      <c r="B65" s="72"/>
      <c r="C65" s="77" t="s">
        <v>78</v>
      </c>
      <c r="D65" s="68" t="s">
        <v>17</v>
      </c>
      <c r="E65" s="89" t="s">
        <v>8</v>
      </c>
      <c r="F65" s="81"/>
      <c r="G65" s="82"/>
      <c r="H65" s="69" t="s">
        <v>63</v>
      </c>
    </row>
    <row r="66" spans="2:8" x14ac:dyDescent="0.4">
      <c r="B66" s="74"/>
      <c r="C66" s="78" t="s">
        <v>43</v>
      </c>
      <c r="D66" s="85" t="s">
        <v>17</v>
      </c>
      <c r="E66" s="90" t="s">
        <v>8</v>
      </c>
      <c r="F66" s="81"/>
      <c r="G66" s="75"/>
      <c r="H66" s="87" t="s">
        <v>63</v>
      </c>
    </row>
    <row r="67" spans="2:8" x14ac:dyDescent="0.4">
      <c r="B67" s="57" t="s">
        <v>79</v>
      </c>
      <c r="C67" s="76" t="s">
        <v>32</v>
      </c>
      <c r="D67" s="85" t="s">
        <v>17</v>
      </c>
      <c r="E67" s="90" t="s">
        <v>8</v>
      </c>
      <c r="F67" s="94"/>
      <c r="G67" s="94"/>
      <c r="H67" s="87" t="s">
        <v>63</v>
      </c>
    </row>
    <row r="68" spans="2:8" x14ac:dyDescent="0.4">
      <c r="B68" s="72"/>
      <c r="C68" s="77" t="s">
        <v>59</v>
      </c>
      <c r="D68" s="85" t="s">
        <v>17</v>
      </c>
      <c r="E68" s="90" t="s">
        <v>8</v>
      </c>
      <c r="F68" s="81"/>
      <c r="G68" s="81"/>
      <c r="H68" s="87" t="s">
        <v>63</v>
      </c>
    </row>
    <row r="69" spans="2:8" x14ac:dyDescent="0.4">
      <c r="B69" s="72"/>
      <c r="C69" s="77" t="s">
        <v>53</v>
      </c>
      <c r="D69" s="85" t="s">
        <v>17</v>
      </c>
      <c r="E69" s="90" t="s">
        <v>42</v>
      </c>
      <c r="F69" s="92"/>
      <c r="G69" s="92"/>
      <c r="H69" s="87" t="s">
        <v>63</v>
      </c>
    </row>
    <row r="70" spans="2:8" x14ac:dyDescent="0.4">
      <c r="B70" s="72"/>
      <c r="C70" s="77" t="s">
        <v>41</v>
      </c>
      <c r="D70" s="85" t="s">
        <v>17</v>
      </c>
      <c r="E70" s="90" t="s">
        <v>42</v>
      </c>
      <c r="F70" s="81"/>
      <c r="G70" s="81"/>
      <c r="H70" s="87" t="s">
        <v>63</v>
      </c>
    </row>
    <row r="71" spans="2:8" x14ac:dyDescent="0.4">
      <c r="B71" s="72"/>
      <c r="C71" s="77" t="s">
        <v>37</v>
      </c>
      <c r="D71" s="85" t="s">
        <v>17</v>
      </c>
      <c r="E71" s="90" t="s">
        <v>42</v>
      </c>
      <c r="F71" s="92"/>
      <c r="G71" s="92"/>
      <c r="H71" s="87" t="s">
        <v>63</v>
      </c>
    </row>
    <row r="72" spans="2:8" x14ac:dyDescent="0.4">
      <c r="B72" s="72"/>
      <c r="C72" s="77" t="s">
        <v>25</v>
      </c>
      <c r="D72" s="85" t="s">
        <v>17</v>
      </c>
      <c r="E72" s="90" t="s">
        <v>10</v>
      </c>
      <c r="F72" s="81"/>
      <c r="G72" s="81"/>
      <c r="H72" s="87" t="s">
        <v>63</v>
      </c>
    </row>
    <row r="73" spans="2:8" x14ac:dyDescent="0.4">
      <c r="B73" s="72"/>
      <c r="C73" s="77" t="s">
        <v>58</v>
      </c>
      <c r="D73" s="85" t="s">
        <v>17</v>
      </c>
      <c r="E73" s="90" t="s">
        <v>42</v>
      </c>
      <c r="F73" s="81"/>
      <c r="G73" s="81"/>
      <c r="H73" s="87" t="s">
        <v>63</v>
      </c>
    </row>
    <row r="74" spans="2:8" x14ac:dyDescent="0.4">
      <c r="B74" s="74"/>
      <c r="C74" s="78" t="s">
        <v>77</v>
      </c>
      <c r="D74" s="85" t="s">
        <v>17</v>
      </c>
      <c r="E74" s="90" t="s">
        <v>10</v>
      </c>
      <c r="F74" s="61"/>
      <c r="G74" s="61"/>
      <c r="H74" s="87" t="s">
        <v>63</v>
      </c>
    </row>
  </sheetData>
  <phoneticPr fontId="4"/>
  <dataValidations count="3">
    <dataValidation type="list" allowBlank="1" showInputMessage="1" showErrorMessage="1" sqref="H3:H74" xr:uid="{6668A6B0-AE49-40A9-BDCA-1EF7E08764AB}">
      <formula1>"未着手,作業中,完了"</formula1>
    </dataValidation>
    <dataValidation type="list" allowBlank="1" showInputMessage="1" showErrorMessage="1" sqref="E3:E74" xr:uid="{3F25CF45-EEFF-4838-8184-2DB508A95967}">
      <formula1>"プロト,アルファ,ベータ,マスタ"</formula1>
    </dataValidation>
    <dataValidation type="list" allowBlank="1" showInputMessage="1" showErrorMessage="1" sqref="D3:D74" xr:uid="{D99FF9D9-52C2-47CC-BC93-4ACF23B2DA2A}">
      <formula1>"S,A,B,C"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2026-02-05T13:37:37Z</dcterms:modified>
</cp:coreProperties>
</file>