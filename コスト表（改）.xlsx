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Fall3\"/>
    </mc:Choice>
  </mc:AlternateContent>
  <xr:revisionPtr revIDLastSave="0" documentId="13_ncr:1_{DA3FCB35-5FBD-4D16-8529-0CE06BD01FD5}" xr6:coauthVersionLast="47" xr6:coauthVersionMax="47" xr10:uidLastSave="{00000000-0000-0000-0000-000000000000}"/>
  <bookViews>
    <workbookView xWindow="-120" yWindow="-120" windowWidth="29040" windowHeight="15720" xr2:uid="{4C536231-C66C-4A73-9D9A-B6DFFC0D3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" i="1" l="1"/>
  <c r="Q20" i="1"/>
  <c r="Q19" i="1"/>
  <c r="Q18" i="1"/>
  <c r="Q17" i="1"/>
  <c r="L17" i="1"/>
  <c r="P21" i="1"/>
  <c r="P20" i="1"/>
  <c r="P19" i="1"/>
  <c r="P18" i="1"/>
  <c r="P17" i="1"/>
  <c r="K17" i="1"/>
  <c r="L21" i="1"/>
  <c r="L20" i="1"/>
  <c r="M20" i="1" s="1"/>
  <c r="L19" i="1"/>
  <c r="L18" i="1"/>
  <c r="Q10" i="1"/>
  <c r="K21" i="1"/>
  <c r="K20" i="1"/>
  <c r="K19" i="1"/>
  <c r="K18" i="1"/>
  <c r="P10" i="1"/>
  <c r="Q14" i="1"/>
  <c r="Q13" i="1"/>
  <c r="Q12" i="1"/>
  <c r="Q11" i="1"/>
  <c r="P14" i="1"/>
  <c r="P13" i="1"/>
  <c r="P12" i="1"/>
  <c r="P11" i="1"/>
  <c r="L14" i="1"/>
  <c r="L13" i="1"/>
  <c r="L12" i="1"/>
  <c r="L11" i="1"/>
  <c r="L10" i="1"/>
  <c r="K14" i="1"/>
  <c r="K13" i="1"/>
  <c r="K12" i="1"/>
  <c r="K11" i="1"/>
  <c r="K10" i="1"/>
  <c r="L6" i="1"/>
  <c r="L5" i="1"/>
  <c r="K6" i="1"/>
  <c r="K5" i="1"/>
  <c r="L4" i="1"/>
  <c r="L3" i="1"/>
  <c r="L2" i="1"/>
  <c r="K2" i="1"/>
  <c r="K3" i="1"/>
  <c r="K4" i="1"/>
  <c r="M12" i="1" l="1"/>
  <c r="M10" i="1"/>
  <c r="M14" i="1"/>
  <c r="M11" i="1"/>
  <c r="R21" i="1"/>
  <c r="R20" i="1"/>
  <c r="R19" i="1"/>
  <c r="R18" i="1"/>
  <c r="R17" i="1"/>
  <c r="M18" i="1"/>
  <c r="M21" i="1"/>
  <c r="M19" i="1"/>
  <c r="M17" i="1"/>
  <c r="M6" i="1"/>
  <c r="M13" i="1"/>
  <c r="M5" i="1"/>
  <c r="M2" i="1"/>
  <c r="R14" i="1"/>
  <c r="R13" i="1"/>
  <c r="R12" i="1"/>
  <c r="R11" i="1"/>
  <c r="R10" i="1"/>
  <c r="M4" i="1"/>
  <c r="M3" i="1"/>
</calcChain>
</file>

<file path=xl/sharedStrings.xml><?xml version="1.0" encoding="utf-8"?>
<sst xmlns="http://schemas.openxmlformats.org/spreadsheetml/2006/main" count="451" uniqueCount="106">
  <si>
    <t>概要</t>
    <rPh sb="0" eb="2">
      <t>ガイヨウ</t>
    </rPh>
    <phoneticPr fontId="3"/>
  </si>
  <si>
    <t>詳細</t>
    <rPh sb="0" eb="2">
      <t>ショウサイ</t>
    </rPh>
    <phoneticPr fontId="3"/>
  </si>
  <si>
    <t>優先度</t>
    <rPh sb="0" eb="3">
      <t>ユウセンド</t>
    </rPh>
    <phoneticPr fontId="3"/>
  </si>
  <si>
    <t>バージョン</t>
    <phoneticPr fontId="3"/>
  </si>
  <si>
    <t>作業工数</t>
    <rPh sb="0" eb="4">
      <t>サギョウコウスウ</t>
    </rPh>
    <phoneticPr fontId="3"/>
  </si>
  <si>
    <t>実コスト</t>
    <rPh sb="0" eb="1">
      <t>ジツ</t>
    </rPh>
    <phoneticPr fontId="3"/>
  </si>
  <si>
    <t>ステータス</t>
    <phoneticPr fontId="3"/>
  </si>
  <si>
    <t>A</t>
  </si>
  <si>
    <t>プロト</t>
  </si>
  <si>
    <t>アルファ</t>
  </si>
  <si>
    <t>プロト</t>
    <phoneticPr fontId="3"/>
  </si>
  <si>
    <t>アルファ</t>
    <phoneticPr fontId="3"/>
  </si>
  <si>
    <t>ベータ</t>
    <phoneticPr fontId="3"/>
  </si>
  <si>
    <t>当たり判定</t>
    <rPh sb="0" eb="1">
      <t>ア</t>
    </rPh>
    <rPh sb="3" eb="5">
      <t>ハンテイ</t>
    </rPh>
    <phoneticPr fontId="3"/>
  </si>
  <si>
    <t>S</t>
  </si>
  <si>
    <t>タグ分け</t>
    <rPh sb="2" eb="3">
      <t>ワ</t>
    </rPh>
    <phoneticPr fontId="2"/>
  </si>
  <si>
    <t>カプセル（キャラクター）</t>
    <phoneticPr fontId="2"/>
  </si>
  <si>
    <t>ボックス（マップ）</t>
    <phoneticPr fontId="2"/>
  </si>
  <si>
    <t>コリジョンマネージャー</t>
    <phoneticPr fontId="2"/>
  </si>
  <si>
    <t>アニメーション</t>
    <phoneticPr fontId="2"/>
  </si>
  <si>
    <t>モーション作成</t>
    <rPh sb="5" eb="7">
      <t>サクセイ</t>
    </rPh>
    <phoneticPr fontId="2"/>
  </si>
  <si>
    <t>ジャンプ</t>
    <phoneticPr fontId="2"/>
  </si>
  <si>
    <t>移動</t>
    <rPh sb="0" eb="2">
      <t>イドウ</t>
    </rPh>
    <phoneticPr fontId="2"/>
  </si>
  <si>
    <t>落下</t>
    <rPh sb="0" eb="2">
      <t>ラッカ</t>
    </rPh>
    <phoneticPr fontId="2"/>
  </si>
  <si>
    <t>マルチプレイ対応</t>
    <rPh sb="6" eb="8">
      <t>タイオウ</t>
    </rPh>
    <phoneticPr fontId="2"/>
  </si>
  <si>
    <t>B</t>
  </si>
  <si>
    <t>プレイヤー</t>
    <phoneticPr fontId="2"/>
  </si>
  <si>
    <t>サウンドマネージャー</t>
    <phoneticPr fontId="2"/>
  </si>
  <si>
    <t>ロード</t>
    <phoneticPr fontId="2"/>
  </si>
  <si>
    <t>再生</t>
    <rPh sb="0" eb="2">
      <t>サイセイ</t>
    </rPh>
    <phoneticPr fontId="2"/>
  </si>
  <si>
    <t>停止</t>
    <rPh sb="0" eb="2">
      <t>テイシ</t>
    </rPh>
    <phoneticPr fontId="2"/>
  </si>
  <si>
    <t>SE</t>
    <phoneticPr fontId="2"/>
  </si>
  <si>
    <t>タイトル</t>
    <phoneticPr fontId="2"/>
  </si>
  <si>
    <t>インゲーム</t>
    <phoneticPr fontId="2"/>
  </si>
  <si>
    <t>リザルト</t>
    <phoneticPr fontId="2"/>
  </si>
  <si>
    <t>BGM</t>
    <phoneticPr fontId="2"/>
  </si>
  <si>
    <t>ベータ</t>
  </si>
  <si>
    <t>カメラ</t>
    <phoneticPr fontId="2"/>
  </si>
  <si>
    <t>カメラコントローラー</t>
    <phoneticPr fontId="2"/>
  </si>
  <si>
    <t>カメラマネージャー</t>
    <phoneticPr fontId="2"/>
  </si>
  <si>
    <t>配置</t>
    <rPh sb="0" eb="2">
      <t>ハイチ</t>
    </rPh>
    <phoneticPr fontId="2"/>
  </si>
  <si>
    <t>回転</t>
    <rPh sb="0" eb="2">
      <t>カイテン</t>
    </rPh>
    <phoneticPr fontId="2"/>
  </si>
  <si>
    <t>光の調整</t>
    <rPh sb="0" eb="1">
      <t>ヒカリ</t>
    </rPh>
    <rPh sb="2" eb="4">
      <t>チョウセイ</t>
    </rPh>
    <phoneticPr fontId="2"/>
  </si>
  <si>
    <t>コントローラー</t>
    <phoneticPr fontId="2"/>
  </si>
  <si>
    <t>パッド対応</t>
    <rPh sb="3" eb="5">
      <t>タイオウ</t>
    </rPh>
    <phoneticPr fontId="2"/>
  </si>
  <si>
    <t>ボタン配置</t>
    <rPh sb="3" eb="5">
      <t>ハイチ</t>
    </rPh>
    <phoneticPr fontId="2"/>
  </si>
  <si>
    <t>インプットマネージャー</t>
    <phoneticPr fontId="2"/>
  </si>
  <si>
    <t>UI</t>
    <phoneticPr fontId="2"/>
  </si>
  <si>
    <t>操作説明</t>
    <rPh sb="0" eb="4">
      <t>ソウサセツメイ</t>
    </rPh>
    <phoneticPr fontId="2"/>
  </si>
  <si>
    <t>シーン遷移</t>
    <rPh sb="3" eb="5">
      <t>センイ</t>
    </rPh>
    <phoneticPr fontId="2"/>
  </si>
  <si>
    <t>シーンマネージャー作成</t>
    <rPh sb="9" eb="11">
      <t>サクセイ</t>
    </rPh>
    <phoneticPr fontId="2"/>
  </si>
  <si>
    <t>演出</t>
    <rPh sb="0" eb="2">
      <t>エンシュツ</t>
    </rPh>
    <phoneticPr fontId="2"/>
  </si>
  <si>
    <t>エフェクト</t>
    <phoneticPr fontId="2"/>
  </si>
  <si>
    <t>ステージ</t>
    <phoneticPr fontId="2"/>
  </si>
  <si>
    <t>エフェクトマネージャー</t>
    <phoneticPr fontId="2"/>
  </si>
  <si>
    <t>ゲームマネージャーベース</t>
    <phoneticPr fontId="2"/>
  </si>
  <si>
    <t>クラス作成</t>
    <rPh sb="3" eb="5">
      <t>サクセイ</t>
    </rPh>
    <phoneticPr fontId="2"/>
  </si>
  <si>
    <t>未着手</t>
  </si>
  <si>
    <t>クラス設計</t>
    <rPh sb="3" eb="5">
      <t>セッケイ</t>
    </rPh>
    <phoneticPr fontId="2"/>
  </si>
  <si>
    <t>設計者が頑張る</t>
    <rPh sb="0" eb="3">
      <t>セッケイシャ</t>
    </rPh>
    <rPh sb="4" eb="6">
      <t>ガンバ</t>
    </rPh>
    <phoneticPr fontId="2"/>
  </si>
  <si>
    <t>デバッグ</t>
    <phoneticPr fontId="2"/>
  </si>
  <si>
    <t>バグ修正</t>
    <rPh sb="2" eb="4">
      <t>シュウセイ</t>
    </rPh>
    <phoneticPr fontId="2"/>
  </si>
  <si>
    <t>最適化</t>
    <rPh sb="0" eb="3">
      <t>サイテキカ</t>
    </rPh>
    <phoneticPr fontId="2"/>
  </si>
  <si>
    <t>マスタ</t>
  </si>
  <si>
    <t>設計</t>
    <rPh sb="0" eb="2">
      <t>セッケイ</t>
    </rPh>
    <phoneticPr fontId="2"/>
  </si>
  <si>
    <t>床</t>
    <rPh sb="0" eb="1">
      <t>ユカ</t>
    </rPh>
    <phoneticPr fontId="2"/>
  </si>
  <si>
    <t>仕様作成</t>
    <rPh sb="0" eb="4">
      <t>シヨウサクセイ</t>
    </rPh>
    <phoneticPr fontId="2"/>
  </si>
  <si>
    <t>必殺技</t>
    <rPh sb="0" eb="3">
      <t>ヒッサツワザ</t>
    </rPh>
    <phoneticPr fontId="2"/>
  </si>
  <si>
    <t>ゲームルール</t>
    <phoneticPr fontId="2"/>
  </si>
  <si>
    <t>素材集め</t>
    <rPh sb="0" eb="3">
      <t>ソザイアツ</t>
    </rPh>
    <phoneticPr fontId="2"/>
  </si>
  <si>
    <t>大崎</t>
    <rPh sb="0" eb="2">
      <t>オオサキ</t>
    </rPh>
    <phoneticPr fontId="2"/>
  </si>
  <si>
    <t>上永</t>
    <rPh sb="0" eb="2">
      <t>カミナガ</t>
    </rPh>
    <phoneticPr fontId="2"/>
  </si>
  <si>
    <t>佐々木</t>
    <rPh sb="0" eb="3">
      <t>ササキ</t>
    </rPh>
    <phoneticPr fontId="2"/>
  </si>
  <si>
    <t>川浪</t>
    <rPh sb="0" eb="2">
      <t>カワナミ</t>
    </rPh>
    <phoneticPr fontId="2"/>
  </si>
  <si>
    <t>誰でも</t>
    <rPh sb="0" eb="1">
      <t>ダレ</t>
    </rPh>
    <phoneticPr fontId="2"/>
  </si>
  <si>
    <t>完了</t>
  </si>
  <si>
    <t>作業中</t>
  </si>
  <si>
    <t>S</t>
    <phoneticPr fontId="2"/>
  </si>
  <si>
    <t>工数表</t>
    <rPh sb="0" eb="3">
      <t>コウスウヒョウ</t>
    </rPh>
    <phoneticPr fontId="2"/>
  </si>
  <si>
    <t>プロト</t>
    <phoneticPr fontId="2"/>
  </si>
  <si>
    <t>アルファ</t>
    <phoneticPr fontId="2"/>
  </si>
  <si>
    <t>ベータ</t>
    <phoneticPr fontId="2"/>
  </si>
  <si>
    <t>進捗</t>
    <rPh sb="0" eb="2">
      <t>シンチョク</t>
    </rPh>
    <phoneticPr fontId="2"/>
  </si>
  <si>
    <t>のこり</t>
    <phoneticPr fontId="2"/>
  </si>
  <si>
    <t>合計</t>
    <rPh sb="0" eb="2">
      <t>ゴウケイ</t>
    </rPh>
    <phoneticPr fontId="2"/>
  </si>
  <si>
    <t>全体</t>
    <rPh sb="0" eb="2">
      <t>ゼンタイ</t>
    </rPh>
    <phoneticPr fontId="2"/>
  </si>
  <si>
    <t>マスター</t>
    <phoneticPr fontId="2"/>
  </si>
  <si>
    <t>人ごとの工数</t>
    <rPh sb="0" eb="1">
      <t>ヒト</t>
    </rPh>
    <rPh sb="4" eb="6">
      <t>コウスウ</t>
    </rPh>
    <phoneticPr fontId="2"/>
  </si>
  <si>
    <t>残り</t>
    <rPh sb="0" eb="1">
      <t>ノコ</t>
    </rPh>
    <phoneticPr fontId="2"/>
  </si>
  <si>
    <t>2月</t>
    <rPh sb="1" eb="2">
      <t>ガツ</t>
    </rPh>
    <phoneticPr fontId="2"/>
  </si>
  <si>
    <t>日</t>
    <rPh sb="0" eb="1">
      <t>ニチ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</si>
  <si>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</si>
  <si>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</si>
  <si>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</si>
  <si>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</si>
  <si>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</si>
  <si>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</si>
  <si>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3月</t>
    <rPh sb="1" eb="2">
      <t>ガツ</t>
    </rPh>
    <phoneticPr fontId="2"/>
  </si>
  <si>
    <t>２月１９日まで</t>
    <rPh sb="1" eb="2">
      <t>ガツ</t>
    </rPh>
    <rPh sb="4" eb="5">
      <t>ニチ</t>
    </rPh>
    <phoneticPr fontId="2"/>
  </si>
  <si>
    <t>３月１日まで</t>
    <rPh sb="1" eb="2">
      <t>ガツ</t>
    </rPh>
    <rPh sb="3" eb="4">
      <t>ニチ</t>
    </rPh>
    <phoneticPr fontId="2"/>
  </si>
  <si>
    <t>３月１０日まで</t>
    <rPh sb="1" eb="2">
      <t>ガツ</t>
    </rPh>
    <rPh sb="4" eb="5">
      <t>ニチ</t>
    </rPh>
    <phoneticPr fontId="2"/>
  </si>
  <si>
    <t>３月１５まで</t>
    <rPh sb="1" eb="2">
      <t>ガツ</t>
    </rPh>
    <phoneticPr fontId="2"/>
  </si>
  <si>
    <t>完全提出３月１６日</t>
    <rPh sb="0" eb="4">
      <t>カンゼンテイシュツ</t>
    </rPh>
    <rPh sb="5" eb="6">
      <t>ガツ</t>
    </rPh>
    <rPh sb="8" eb="9">
      <t>ニチ</t>
    </rPh>
    <phoneticPr fontId="2"/>
  </si>
  <si>
    <t>園田</t>
    <rPh sb="0" eb="2">
      <t>ソノダ</t>
    </rPh>
    <phoneticPr fontId="2"/>
  </si>
  <si>
    <t>モーション</t>
    <phoneticPr fontId="2"/>
  </si>
  <si>
    <t>プレイヤー必殺技(波動拳)</t>
    <rPh sb="5" eb="8">
      <t>ヒッサツワザ</t>
    </rPh>
    <rPh sb="9" eb="12">
      <t>ハドウケン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</si>
</sst>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7" borderId="2" xfId="0" applyFill="1" applyBorder="1" applyAlignment="1"/>
    <xf numFmtId="0" fontId="0" fillId="7" borderId="3" xfId="0" applyFill="1" applyBorder="1" applyAlignment="1"/>
    <xf numFmtId="0" fontId="0" fillId="0" borderId="4" xfId="0" applyBorder="1">
      <alignment vertical="center"/>
    </xf>
    <xf numFmtId="0" fontId="0" fillId="7" borderId="5" xfId="0" applyFill="1" applyBorder="1" applyAlignment="1"/>
    <xf numFmtId="0" fontId="0" fillId="0" borderId="6" xfId="0" applyBorder="1">
      <alignment vertical="center"/>
    </xf>
    <xf numFmtId="0" fontId="0" fillId="7" borderId="3" xfId="0" applyFill="1" applyBorder="1">
      <alignment vertical="center"/>
    </xf>
    <xf numFmtId="0" fontId="0" fillId="7" borderId="2" xfId="0" applyFill="1" applyBorder="1">
      <alignment vertical="center"/>
    </xf>
    <xf numFmtId="0" fontId="0" fillId="7" borderId="5" xfId="0" applyFill="1" applyBorder="1">
      <alignment vertical="center"/>
    </xf>
    <xf numFmtId="0" fontId="0" fillId="6" borderId="5" xfId="0" applyFill="1" applyBorder="1">
      <alignment vertical="center"/>
    </xf>
    <xf numFmtId="0" fontId="0" fillId="7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7" borderId="12" xfId="0" applyFill="1" applyBorder="1">
      <alignment vertical="center"/>
    </xf>
    <xf numFmtId="0" fontId="0" fillId="7" borderId="13" xfId="0" applyFill="1" applyBorder="1">
      <alignment vertical="center"/>
    </xf>
    <xf numFmtId="0" fontId="0" fillId="0" borderId="14" xfId="0" applyBorder="1">
      <alignment vertical="center"/>
    </xf>
    <xf numFmtId="0" fontId="0" fillId="6" borderId="3" xfId="0" applyFill="1" applyBorder="1">
      <alignment vertical="center"/>
    </xf>
    <xf numFmtId="0" fontId="0" fillId="6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0" fillId="0" borderId="15" xfId="0" applyBorder="1">
      <alignment vertical="center"/>
    </xf>
    <xf numFmtId="0" fontId="0" fillId="0" borderId="8" xfId="0" applyBorder="1">
      <alignment vertical="center"/>
    </xf>
    <xf numFmtId="0" fontId="0" fillId="0" borderId="17" xfId="0" applyBorder="1">
      <alignment vertical="center"/>
    </xf>
    <xf numFmtId="0" fontId="0" fillId="7" borderId="18" xfId="0" applyFill="1" applyBorder="1">
      <alignment vertical="center"/>
    </xf>
    <xf numFmtId="0" fontId="0" fillId="6" borderId="19" xfId="0" applyFill="1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7" borderId="22" xfId="0" applyFill="1" applyBorder="1">
      <alignment vertical="center"/>
    </xf>
    <xf numFmtId="0" fontId="0" fillId="6" borderId="23" xfId="0" applyFill="1" applyBorder="1">
      <alignment vertical="center"/>
    </xf>
    <xf numFmtId="0" fontId="0" fillId="6" borderId="25" xfId="0" applyFill="1" applyBorder="1">
      <alignment vertical="center"/>
    </xf>
    <xf numFmtId="0" fontId="0" fillId="7" borderId="26" xfId="0" applyFill="1" applyBorder="1">
      <alignment vertical="center"/>
    </xf>
    <xf numFmtId="0" fontId="0" fillId="0" borderId="28" xfId="0" applyBorder="1">
      <alignment vertical="center"/>
    </xf>
    <xf numFmtId="0" fontId="0" fillId="3" borderId="20" xfId="0" applyFill="1" applyBorder="1" applyAlignment="1">
      <alignment horizontal="center" vertical="center"/>
    </xf>
    <xf numFmtId="0" fontId="0" fillId="7" borderId="27" xfId="0" applyFill="1" applyBorder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7" borderId="32" xfId="0" applyFill="1" applyBorder="1">
      <alignment vertical="center"/>
    </xf>
    <xf numFmtId="0" fontId="0" fillId="7" borderId="24" xfId="0" applyFill="1" applyBorder="1">
      <alignment vertical="center"/>
    </xf>
    <xf numFmtId="0" fontId="0" fillId="6" borderId="26" xfId="0" applyFill="1" applyBorder="1">
      <alignment vertical="center"/>
    </xf>
    <xf numFmtId="0" fontId="0" fillId="6" borderId="29" xfId="0" applyFill="1" applyBorder="1">
      <alignment vertical="center"/>
    </xf>
    <xf numFmtId="0" fontId="0" fillId="6" borderId="27" xfId="0" applyFill="1" applyBorder="1">
      <alignment vertical="center"/>
    </xf>
    <xf numFmtId="0" fontId="0" fillId="0" borderId="33" xfId="0" applyBorder="1">
      <alignment vertical="center"/>
    </xf>
    <xf numFmtId="0" fontId="0" fillId="0" borderId="18" xfId="0" applyBorder="1">
      <alignment vertical="center"/>
    </xf>
    <xf numFmtId="0" fontId="0" fillId="3" borderId="3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6" xfId="0" applyBorder="1">
      <alignment vertical="center"/>
    </xf>
    <xf numFmtId="0" fontId="0" fillId="0" borderId="26" xfId="0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7" borderId="14" xfId="0" applyFill="1" applyBorder="1" applyAlignment="1"/>
    <xf numFmtId="0" fontId="0" fillId="0" borderId="25" xfId="0" applyBorder="1">
      <alignment vertical="center"/>
    </xf>
    <xf numFmtId="14" fontId="0" fillId="0" borderId="0" xfId="0" applyNumberFormat="1">
      <alignment vertical="center"/>
    </xf>
    <xf numFmtId="0" fontId="4" fillId="0" borderId="18" xfId="0" applyFont="1" applyBorder="1">
      <alignment vertical="center"/>
    </xf>
    <xf numFmtId="0" fontId="4" fillId="4" borderId="18" xfId="0" applyFont="1" applyFill="1" applyBorder="1" applyAlignment="1"/>
    <xf numFmtId="0" fontId="4" fillId="5" borderId="18" xfId="0" applyFont="1" applyFill="1" applyBorder="1" applyAlignment="1"/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18" xfId="0" applyFont="1" applyBorder="1">
      <alignment vertical="center"/>
    </xf>
    <xf numFmtId="0" fontId="0" fillId="3" borderId="7" xfId="0" applyFill="1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4" fillId="7" borderId="18" xfId="0" applyFont="1" applyFill="1" applyBorder="1" applyAlignment="1"/>
    <xf numFmtId="0" fontId="4" fillId="11" borderId="18" xfId="0" applyFont="1" applyFill="1" applyBorder="1" applyAlignment="1">
      <alignment horizontal="left" vertical="center"/>
    </xf>
    <xf numFmtId="0" fontId="5" fillId="3" borderId="16" xfId="0" applyFont="1" applyFill="1" applyBorder="1" applyAlignment="1"/>
    <xf numFmtId="0" fontId="5" fillId="0" borderId="37" xfId="0" applyFont="1" applyBorder="1">
      <alignment vertical="center"/>
    </xf>
    <xf numFmtId="0" fontId="5" fillId="0" borderId="38" xfId="0" applyFont="1" applyBorder="1">
      <alignment vertical="center"/>
    </xf>
    <xf numFmtId="0" fontId="4" fillId="8" borderId="18" xfId="0" applyFont="1" applyFill="1" applyBorder="1">
      <alignment vertical="center"/>
    </xf>
    <xf numFmtId="0" fontId="5" fillId="0" borderId="39" xfId="0" applyFont="1" applyBorder="1">
      <alignment vertical="center"/>
    </xf>
    <xf numFmtId="0" fontId="5" fillId="3" borderId="39" xfId="0" applyFont="1" applyFill="1" applyBorder="1" applyAlignment="1"/>
    <xf numFmtId="0" fontId="4" fillId="8" borderId="18" xfId="0" applyFont="1" applyFill="1" applyBorder="1" applyAlignment="1">
      <alignment horizontal="left" vertical="center"/>
    </xf>
    <xf numFmtId="0" fontId="5" fillId="8" borderId="18" xfId="0" applyFont="1" applyFill="1" applyBorder="1">
      <alignment vertical="center"/>
    </xf>
    <xf numFmtId="0" fontId="4" fillId="9" borderId="18" xfId="0" applyFont="1" applyFill="1" applyBorder="1" applyAlignment="1"/>
    <xf numFmtId="0" fontId="4" fillId="13" borderId="18" xfId="0" applyFont="1" applyFill="1" applyBorder="1" applyAlignment="1"/>
    <xf numFmtId="0" fontId="4" fillId="11" borderId="18" xfId="0" applyFont="1" applyFill="1" applyBorder="1" applyAlignment="1"/>
    <xf numFmtId="0" fontId="4" fillId="8" borderId="18" xfId="0" applyFont="1" applyFill="1" applyBorder="1" applyAlignment="1"/>
    <xf numFmtId="0" fontId="4" fillId="14" borderId="18" xfId="0" applyFont="1" applyFill="1" applyBorder="1">
      <alignment vertical="center"/>
    </xf>
    <xf numFmtId="0" fontId="4" fillId="4" borderId="18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4" fillId="15" borderId="18" xfId="0" applyFont="1" applyFill="1" applyBorder="1">
      <alignment vertical="center"/>
    </xf>
    <xf numFmtId="0" fontId="0" fillId="0" borderId="40" xfId="0" applyBorder="1">
      <alignment vertical="center"/>
    </xf>
    <xf numFmtId="56" fontId="0" fillId="0" borderId="0" xfId="0" applyNumberFormat="1">
      <alignment vertical="center"/>
    </xf>
    <xf numFmtId="0" fontId="0" fillId="16" borderId="41" xfId="0" applyFill="1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4" borderId="1" xfId="0" applyFill="1" applyBorder="1">
      <alignment vertical="center"/>
    </xf>
    <xf numFmtId="0" fontId="0" fillId="4" borderId="45" xfId="0" applyFill="1" applyBorder="1">
      <alignment vertical="center"/>
    </xf>
    <xf numFmtId="0" fontId="0" fillId="4" borderId="44" xfId="0" applyFill="1" applyBorder="1">
      <alignment vertical="center"/>
    </xf>
    <xf numFmtId="0" fontId="0" fillId="11" borderId="1" xfId="0" applyFill="1" applyBorder="1">
      <alignment vertical="center"/>
    </xf>
    <xf numFmtId="0" fontId="0" fillId="11" borderId="45" xfId="0" applyFill="1" applyBorder="1">
      <alignment vertical="center"/>
    </xf>
    <xf numFmtId="0" fontId="0" fillId="11" borderId="46" xfId="0" applyFill="1" applyBorder="1">
      <alignment vertical="center"/>
    </xf>
    <xf numFmtId="0" fontId="0" fillId="11" borderId="47" xfId="0" applyFill="1" applyBorder="1">
      <alignment vertical="center"/>
    </xf>
    <xf numFmtId="0" fontId="0" fillId="11" borderId="48" xfId="0" applyFill="1" applyBorder="1">
      <alignment vertical="center"/>
    </xf>
    <xf numFmtId="0" fontId="0" fillId="0" borderId="41" xfId="0" applyBorder="1">
      <alignment vertical="center"/>
    </xf>
    <xf numFmtId="0" fontId="0" fillId="11" borderId="44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45" xfId="0" applyFill="1" applyBorder="1">
      <alignment vertical="center"/>
    </xf>
    <xf numFmtId="0" fontId="0" fillId="7" borderId="44" xfId="0" applyFill="1" applyBorder="1">
      <alignment vertical="center"/>
    </xf>
    <xf numFmtId="0" fontId="0" fillId="17" borderId="1" xfId="0" applyFill="1" applyBorder="1">
      <alignment vertical="center"/>
    </xf>
    <xf numFmtId="0" fontId="0" fillId="17" borderId="45" xfId="0" applyFill="1" applyBorder="1">
      <alignment vertical="center"/>
    </xf>
    <xf numFmtId="0" fontId="0" fillId="17" borderId="44" xfId="0" applyFill="1" applyBorder="1">
      <alignment vertical="center"/>
    </xf>
    <xf numFmtId="0" fontId="0" fillId="18" borderId="1" xfId="0" applyFill="1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56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0" fillId="19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0" borderId="2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1606-320D-4390-8B98-CE6030BB2FAA}">
  <dimension ref="A1:T72"/>
  <sheetViews>
    <sheetView tabSelected="1" workbookViewId="0">
      <selection activeCell="I14" sqref="I14"/>
    </sheetView>
  </sheetViews>
  <sheetFormatPr defaultRowHeight="18.75" x14ac:dyDescent="0.4"/>
  <cols>
    <col min="2" max="3" width="25.375" bestFit="1" customWidth="1"/>
    <col min="4" max="4" width="7.375" bestFit="1" customWidth="1"/>
    <col min="5" max="5" width="11.25" bestFit="1" customWidth="1"/>
    <col min="6" max="7" width="9.25" bestFit="1" customWidth="1"/>
    <col min="8" max="8" width="11.25" bestFit="1" customWidth="1"/>
    <col min="10" max="10" width="13.75" customWidth="1"/>
    <col min="11" max="11" width="7.125" customWidth="1"/>
    <col min="12" max="12" width="6.5" customWidth="1"/>
    <col min="13" max="13" width="11.75" customWidth="1"/>
    <col min="14" max="14" width="7.5" customWidth="1"/>
    <col min="15" max="15" width="13.125" bestFit="1" customWidth="1"/>
    <col min="16" max="16" width="7.75" customWidth="1"/>
    <col min="17" max="17" width="7.5" customWidth="1"/>
    <col min="18" max="18" width="7.625" customWidth="1"/>
  </cols>
  <sheetData>
    <row r="1" spans="1:18" x14ac:dyDescent="0.35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89" t="s">
        <v>78</v>
      </c>
      <c r="K1" s="89" t="s">
        <v>84</v>
      </c>
      <c r="L1" s="89" t="s">
        <v>82</v>
      </c>
      <c r="M1" s="89" t="s">
        <v>83</v>
      </c>
    </row>
    <row r="2" spans="1:18" x14ac:dyDescent="0.4">
      <c r="A2" s="66" t="s">
        <v>70</v>
      </c>
      <c r="B2" s="6" t="s">
        <v>13</v>
      </c>
      <c r="C2" s="4" t="s">
        <v>15</v>
      </c>
      <c r="D2" s="3" t="s">
        <v>14</v>
      </c>
      <c r="E2" s="3" t="s">
        <v>8</v>
      </c>
      <c r="F2" s="70">
        <v>0.5</v>
      </c>
      <c r="G2" s="70">
        <v>0.5</v>
      </c>
      <c r="H2" s="3" t="s">
        <v>75</v>
      </c>
      <c r="J2" s="75" t="s">
        <v>85</v>
      </c>
      <c r="K2" s="53">
        <f>SUM(F2:F72)</f>
        <v>50.599999999999994</v>
      </c>
      <c r="L2" s="53">
        <f>SUMIF(H2:H72,"完了",F2:F72)</f>
        <v>28.099999999999998</v>
      </c>
      <c r="M2" s="53">
        <f>K2-L2</f>
        <v>22.499999999999996</v>
      </c>
    </row>
    <row r="3" spans="1:18" x14ac:dyDescent="0.4">
      <c r="A3" s="66" t="s">
        <v>70</v>
      </c>
      <c r="B3" s="5"/>
      <c r="C3" s="4" t="s">
        <v>16</v>
      </c>
      <c r="D3" s="3" t="s">
        <v>14</v>
      </c>
      <c r="E3" s="3" t="s">
        <v>8</v>
      </c>
      <c r="F3" s="70">
        <v>0.5</v>
      </c>
      <c r="G3" s="70">
        <v>0.5</v>
      </c>
      <c r="H3" s="3" t="s">
        <v>75</v>
      </c>
      <c r="J3" s="76" t="s">
        <v>10</v>
      </c>
      <c r="K3" s="53">
        <f>SUMIF(E2:E72,"プロト",F2:F72)</f>
        <v>24</v>
      </c>
      <c r="L3" s="53">
        <f>SUMIFS(F2:F72,E2:E72,"プロト",H2:H72,"完了")</f>
        <v>24</v>
      </c>
      <c r="M3" s="53">
        <f t="shared" ref="M3:M6" si="0">K3-L3</f>
        <v>0</v>
      </c>
    </row>
    <row r="4" spans="1:18" x14ac:dyDescent="0.4">
      <c r="A4" s="66" t="s">
        <v>70</v>
      </c>
      <c r="B4" s="5"/>
      <c r="C4" s="4" t="s">
        <v>17</v>
      </c>
      <c r="D4" s="3" t="s">
        <v>14</v>
      </c>
      <c r="E4" s="3" t="s">
        <v>8</v>
      </c>
      <c r="F4" s="70">
        <v>0.5</v>
      </c>
      <c r="G4" s="70">
        <v>0.5</v>
      </c>
      <c r="H4" s="3" t="s">
        <v>75</v>
      </c>
      <c r="J4" s="84" t="s">
        <v>11</v>
      </c>
      <c r="K4" s="53">
        <f>SUMIF(E2:E72,"アルファ",F2:F72)</f>
        <v>11.100000000000001</v>
      </c>
      <c r="L4" s="53">
        <f>SUMIFS(F2:F72,E2:E72,"アルファ",H2:H72,"完了")</f>
        <v>4.1000000000000005</v>
      </c>
      <c r="M4" s="53">
        <f t="shared" si="0"/>
        <v>7.0000000000000009</v>
      </c>
    </row>
    <row r="5" spans="1:18" x14ac:dyDescent="0.4">
      <c r="A5" s="66" t="s">
        <v>70</v>
      </c>
      <c r="B5" s="8"/>
      <c r="C5" s="13" t="s">
        <v>18</v>
      </c>
      <c r="D5" s="3" t="s">
        <v>14</v>
      </c>
      <c r="E5" s="3" t="s">
        <v>8</v>
      </c>
      <c r="F5" s="70">
        <v>1</v>
      </c>
      <c r="G5" s="70">
        <v>1</v>
      </c>
      <c r="H5" s="3" t="s">
        <v>75</v>
      </c>
      <c r="J5" s="77" t="s">
        <v>12</v>
      </c>
      <c r="K5" s="53">
        <f>SUMIF(E2:E72,"ベータ",F2:F72)</f>
        <v>13.5</v>
      </c>
      <c r="L5" s="53">
        <f>SUMIFS(F2:F72,E2:E72,"ベータ",H2:H72,"完了")</f>
        <v>0</v>
      </c>
      <c r="M5" s="53">
        <f t="shared" si="0"/>
        <v>13.5</v>
      </c>
    </row>
    <row r="6" spans="1:18" x14ac:dyDescent="0.4">
      <c r="A6" s="66" t="s">
        <v>70</v>
      </c>
      <c r="B6" s="5" t="s">
        <v>26</v>
      </c>
      <c r="C6" s="4" t="s">
        <v>19</v>
      </c>
      <c r="D6" s="3" t="s">
        <v>14</v>
      </c>
      <c r="E6" s="3" t="s">
        <v>9</v>
      </c>
      <c r="F6" s="70">
        <v>1</v>
      </c>
      <c r="G6" s="70">
        <v>1</v>
      </c>
      <c r="H6" s="3" t="s">
        <v>75</v>
      </c>
      <c r="J6" s="85" t="s">
        <v>86</v>
      </c>
      <c r="K6" s="80">
        <f>SUMIF(E2:E72,"マスタ",F2:F72)</f>
        <v>2</v>
      </c>
      <c r="L6" s="80">
        <f>SUMIFS(F2:F72,E2:E72,"ベータ",H2:H72,"完了")</f>
        <v>0</v>
      </c>
      <c r="M6" s="53">
        <f t="shared" si="0"/>
        <v>2</v>
      </c>
    </row>
    <row r="7" spans="1:18" x14ac:dyDescent="0.4">
      <c r="A7" s="66" t="s">
        <v>70</v>
      </c>
      <c r="B7" s="5"/>
      <c r="C7" s="4" t="s">
        <v>20</v>
      </c>
      <c r="D7" s="3" t="s">
        <v>25</v>
      </c>
      <c r="E7" s="3" t="s">
        <v>11</v>
      </c>
      <c r="F7" s="70">
        <v>0.5</v>
      </c>
      <c r="G7" s="70">
        <v>0.25</v>
      </c>
      <c r="H7" s="44" t="s">
        <v>75</v>
      </c>
      <c r="I7" s="79"/>
      <c r="J7" s="78"/>
      <c r="K7" s="79"/>
      <c r="L7" s="79"/>
      <c r="M7" s="79"/>
      <c r="N7" s="79"/>
      <c r="O7" s="79"/>
    </row>
    <row r="8" spans="1:18" x14ac:dyDescent="0.4">
      <c r="A8" s="66" t="s">
        <v>70</v>
      </c>
      <c r="B8" s="5"/>
      <c r="C8" s="4" t="s">
        <v>21</v>
      </c>
      <c r="D8" s="3" t="s">
        <v>14</v>
      </c>
      <c r="E8" s="3" t="s">
        <v>8</v>
      </c>
      <c r="F8" s="70">
        <v>0.5</v>
      </c>
      <c r="G8" s="81">
        <v>0.25</v>
      </c>
      <c r="H8" s="83" t="s">
        <v>75</v>
      </c>
      <c r="I8" s="90"/>
      <c r="J8" s="92" t="s">
        <v>87</v>
      </c>
      <c r="K8" s="93"/>
      <c r="L8" s="93"/>
      <c r="M8" s="93"/>
      <c r="N8" s="79"/>
    </row>
    <row r="9" spans="1:18" x14ac:dyDescent="0.4">
      <c r="A9" s="66" t="s">
        <v>70</v>
      </c>
      <c r="B9" s="5"/>
      <c r="C9" s="4" t="s">
        <v>22</v>
      </c>
      <c r="D9" s="3" t="s">
        <v>14</v>
      </c>
      <c r="E9" s="3" t="s">
        <v>8</v>
      </c>
      <c r="F9" s="70">
        <v>0.5</v>
      </c>
      <c r="G9" s="81">
        <v>0.5</v>
      </c>
      <c r="H9" s="83" t="s">
        <v>75</v>
      </c>
      <c r="I9" s="91"/>
      <c r="J9" s="75" t="s">
        <v>85</v>
      </c>
      <c r="K9" s="75" t="s">
        <v>84</v>
      </c>
      <c r="L9" s="75" t="s">
        <v>82</v>
      </c>
      <c r="M9" s="75" t="s">
        <v>88</v>
      </c>
      <c r="N9" s="79"/>
      <c r="O9" s="99" t="s">
        <v>79</v>
      </c>
      <c r="P9" s="99" t="s">
        <v>84</v>
      </c>
      <c r="Q9" s="99" t="s">
        <v>82</v>
      </c>
      <c r="R9" s="99" t="s">
        <v>88</v>
      </c>
    </row>
    <row r="10" spans="1:18" x14ac:dyDescent="0.4">
      <c r="A10" s="66" t="s">
        <v>70</v>
      </c>
      <c r="B10" s="5"/>
      <c r="C10" s="4" t="s">
        <v>23</v>
      </c>
      <c r="D10" s="3" t="s">
        <v>14</v>
      </c>
      <c r="E10" s="3" t="s">
        <v>8</v>
      </c>
      <c r="F10" s="70">
        <v>0.5</v>
      </c>
      <c r="G10" s="81">
        <v>0.25</v>
      </c>
      <c r="H10" s="83" t="s">
        <v>75</v>
      </c>
      <c r="I10" s="91"/>
      <c r="J10" s="94" t="s">
        <v>70</v>
      </c>
      <c r="K10" s="80">
        <f>SUMIF(A2:A72,"大崎",F2:F72)</f>
        <v>12.099999999999998</v>
      </c>
      <c r="L10" s="80">
        <f>SUMIFS(F2:F72,A2:A72,"大崎",H2:H72,"完了")</f>
        <v>8.5999999999999979</v>
      </c>
      <c r="M10" s="80">
        <f>K10 - L10</f>
        <v>3.5</v>
      </c>
      <c r="N10" s="79"/>
      <c r="O10" s="94" t="s">
        <v>70</v>
      </c>
      <c r="P10" s="80">
        <f>SUMIFS(F2:F72,A2:A72,"大崎",E2:E72,"プロト")</f>
        <v>5</v>
      </c>
      <c r="Q10" s="80">
        <f>SUMIFS(F2:F72,A2:A72,"大崎",E2:E72,"プロト",H2:H72,"完了")</f>
        <v>5</v>
      </c>
      <c r="R10" s="80">
        <f>P10 - Q10</f>
        <v>0</v>
      </c>
    </row>
    <row r="11" spans="1:18" x14ac:dyDescent="0.4">
      <c r="A11" s="66" t="s">
        <v>70</v>
      </c>
      <c r="B11" s="5"/>
      <c r="C11" s="21" t="s">
        <v>24</v>
      </c>
      <c r="D11" s="3" t="s">
        <v>14</v>
      </c>
      <c r="E11" s="3" t="s">
        <v>8</v>
      </c>
      <c r="F11" s="70">
        <v>1</v>
      </c>
      <c r="G11" s="81">
        <v>0.5</v>
      </c>
      <c r="H11" s="83" t="s">
        <v>75</v>
      </c>
      <c r="I11" s="91"/>
      <c r="J11" s="95" t="s">
        <v>71</v>
      </c>
      <c r="K11" s="80">
        <f>SUMIF(A2:A72,"上永",F2:F72)</f>
        <v>12.5</v>
      </c>
      <c r="L11" s="80">
        <f>SUMIFS(F2:F72,A2:A72,"上永",H2:H72,"完了")</f>
        <v>8.5</v>
      </c>
      <c r="M11" s="80">
        <f t="shared" ref="M11:M14" si="1">K11 - L11</f>
        <v>4</v>
      </c>
      <c r="N11" s="79"/>
      <c r="O11" s="95" t="s">
        <v>71</v>
      </c>
      <c r="P11" s="80">
        <f>SUMIFS(F2:F72,A2:A72,"上永",E2:E72,"プロト")</f>
        <v>8</v>
      </c>
      <c r="Q11" s="80">
        <f>SUMIFS(F2:F72,A2:A72,"上永",E2:E72,"プロト",H2:H72,"完了")</f>
        <v>8</v>
      </c>
      <c r="R11" s="80">
        <f t="shared" ref="R11:R14" si="2">P11 - Q11</f>
        <v>0</v>
      </c>
    </row>
    <row r="12" spans="1:18" x14ac:dyDescent="0.4">
      <c r="A12" s="66" t="s">
        <v>70</v>
      </c>
      <c r="B12" s="72"/>
      <c r="C12" s="13" t="s">
        <v>67</v>
      </c>
      <c r="D12" s="3" t="s">
        <v>77</v>
      </c>
      <c r="E12" s="3" t="s">
        <v>9</v>
      </c>
      <c r="F12" s="70">
        <v>1.5</v>
      </c>
      <c r="G12" s="70">
        <v>1.5</v>
      </c>
      <c r="H12" s="82" t="s">
        <v>75</v>
      </c>
      <c r="I12" s="86"/>
      <c r="J12" s="96" t="s">
        <v>73</v>
      </c>
      <c r="K12" s="80">
        <f>SUMIF(A2:A72,"川浪",F2:F72)</f>
        <v>6.5</v>
      </c>
      <c r="L12" s="80">
        <f>SUMIFS(F2:F72,A2:A72,"川浪",H2:H72,"完了")</f>
        <v>6</v>
      </c>
      <c r="M12" s="80">
        <f t="shared" si="1"/>
        <v>0.5</v>
      </c>
      <c r="N12" s="79"/>
      <c r="O12" s="96" t="s">
        <v>73</v>
      </c>
      <c r="P12" s="80">
        <f>SUMIFS(F2:F72,A2:A72,"川浪",E2:E72,"プロト")</f>
        <v>6</v>
      </c>
      <c r="Q12" s="80">
        <f>SUMIFS(F2:F72,A2:A72,"川浪",E2:E72,"プロト",H2:H72,"完了")</f>
        <v>6</v>
      </c>
      <c r="R12" s="80">
        <f t="shared" si="2"/>
        <v>0</v>
      </c>
    </row>
    <row r="13" spans="1:18" x14ac:dyDescent="0.35">
      <c r="A13" s="66" t="s">
        <v>70</v>
      </c>
      <c r="B13" s="10" t="s">
        <v>27</v>
      </c>
      <c r="C13" s="4" t="s">
        <v>28</v>
      </c>
      <c r="D13" s="3" t="s">
        <v>14</v>
      </c>
      <c r="E13" s="3" t="s">
        <v>9</v>
      </c>
      <c r="F13" s="70">
        <v>0.2</v>
      </c>
      <c r="G13" s="70">
        <v>0.2</v>
      </c>
      <c r="H13" s="3" t="s">
        <v>75</v>
      </c>
      <c r="I13" s="87"/>
      <c r="J13" s="97" t="s">
        <v>72</v>
      </c>
      <c r="K13" s="80">
        <f>SUMIF(A2:A72,"佐々木",F2:F72)</f>
        <v>10.5</v>
      </c>
      <c r="L13" s="80">
        <f>SUMIFS(F2:F72,A2:A72,"佐々木",H2:H72,"完了")</f>
        <v>4</v>
      </c>
      <c r="M13" s="80">
        <f t="shared" si="1"/>
        <v>6.5</v>
      </c>
      <c r="N13" s="79"/>
      <c r="O13" s="97" t="s">
        <v>72</v>
      </c>
      <c r="P13" s="80">
        <f>SUMIFS(F2:F72,A2:A72,"佐々木",E2:E72,"プロト")</f>
        <v>4</v>
      </c>
      <c r="Q13" s="80">
        <f>SUMIFS(F2:F72,A2:A72,"佐々木",E2:E72,"プロト",H2:H72,"完了")</f>
        <v>4</v>
      </c>
      <c r="R13" s="80">
        <f t="shared" si="2"/>
        <v>0</v>
      </c>
    </row>
    <row r="14" spans="1:18" x14ac:dyDescent="0.4">
      <c r="A14" s="66" t="s">
        <v>70</v>
      </c>
      <c r="B14" s="11"/>
      <c r="C14" s="4" t="s">
        <v>29</v>
      </c>
      <c r="D14" s="3" t="s">
        <v>14</v>
      </c>
      <c r="E14" s="3" t="s">
        <v>9</v>
      </c>
      <c r="F14" s="70">
        <v>0.2</v>
      </c>
      <c r="G14" s="70">
        <v>0.2</v>
      </c>
      <c r="H14" s="3" t="s">
        <v>75</v>
      </c>
      <c r="I14" s="79"/>
      <c r="J14" s="98" t="s">
        <v>74</v>
      </c>
      <c r="K14" s="80">
        <f>SUMIF(A2:A72,"誰でも",F2:F72)</f>
        <v>8</v>
      </c>
      <c r="L14" s="80">
        <f>SUMIFS(F2:F72,A2:A72,"誰でも",H2:H72,"完了")</f>
        <v>1</v>
      </c>
      <c r="M14" s="80">
        <f t="shared" si="1"/>
        <v>7</v>
      </c>
      <c r="N14" s="79"/>
      <c r="O14" s="98" t="s">
        <v>74</v>
      </c>
      <c r="P14" s="80">
        <f>SUMIFS(F2:F72,A2:A72,"誰でも",E2:E72,"プロト")</f>
        <v>1</v>
      </c>
      <c r="Q14" s="80">
        <f>SUMIFS(F2:F72,A2:A72,"誰でも",E2:E72,"プロト",H2:H72,"完了")</f>
        <v>1</v>
      </c>
      <c r="R14" s="80">
        <f t="shared" si="2"/>
        <v>0</v>
      </c>
    </row>
    <row r="15" spans="1:18" x14ac:dyDescent="0.4">
      <c r="A15" s="66" t="s">
        <v>70</v>
      </c>
      <c r="B15" s="12"/>
      <c r="C15" s="13" t="s">
        <v>30</v>
      </c>
      <c r="D15" s="3" t="s">
        <v>14</v>
      </c>
      <c r="E15" s="3" t="s">
        <v>9</v>
      </c>
      <c r="F15" s="70">
        <v>0.2</v>
      </c>
      <c r="G15" s="70">
        <v>0.2</v>
      </c>
      <c r="H15" s="3" t="s">
        <v>75</v>
      </c>
      <c r="I15" s="79"/>
      <c r="N15" s="79"/>
      <c r="O15" s="79"/>
    </row>
    <row r="16" spans="1:18" x14ac:dyDescent="0.4">
      <c r="A16" s="66" t="s">
        <v>70</v>
      </c>
      <c r="B16" s="14" t="s">
        <v>31</v>
      </c>
      <c r="C16" s="20" t="s">
        <v>32</v>
      </c>
      <c r="D16" s="3" t="s">
        <v>14</v>
      </c>
      <c r="E16" s="3" t="s">
        <v>36</v>
      </c>
      <c r="F16" s="71">
        <v>0.5</v>
      </c>
      <c r="G16" s="22"/>
      <c r="H16" s="3" t="s">
        <v>57</v>
      </c>
      <c r="I16" s="79"/>
      <c r="J16" s="100" t="s">
        <v>80</v>
      </c>
      <c r="K16" s="100" t="s">
        <v>84</v>
      </c>
      <c r="L16" s="100" t="s">
        <v>82</v>
      </c>
      <c r="M16" s="100" t="s">
        <v>88</v>
      </c>
      <c r="N16" s="88"/>
      <c r="O16" s="101" t="s">
        <v>81</v>
      </c>
      <c r="P16" s="101" t="s">
        <v>84</v>
      </c>
      <c r="Q16" s="101" t="s">
        <v>82</v>
      </c>
      <c r="R16" s="101" t="s">
        <v>88</v>
      </c>
    </row>
    <row r="17" spans="1:20" x14ac:dyDescent="0.35">
      <c r="A17" s="66" t="s">
        <v>70</v>
      </c>
      <c r="B17" s="17"/>
      <c r="C17" s="21" t="s">
        <v>33</v>
      </c>
      <c r="D17" s="3" t="s">
        <v>14</v>
      </c>
      <c r="E17" s="3" t="s">
        <v>36</v>
      </c>
      <c r="F17" s="71">
        <v>0.5</v>
      </c>
      <c r="G17" s="26"/>
      <c r="H17" s="3" t="s">
        <v>57</v>
      </c>
      <c r="I17" s="79"/>
      <c r="J17" s="94" t="s">
        <v>70</v>
      </c>
      <c r="K17" s="80">
        <f>SUMIFS(F2:F72,A2:A72,"大崎",E2:E72,"アルファ")</f>
        <v>3.6000000000000005</v>
      </c>
      <c r="L17" s="80">
        <f>SUMIFS(F2:F72,A2:A72,"大崎",E2:E72,"アルファ",H2:H72,"完了")</f>
        <v>3.6000000000000005</v>
      </c>
      <c r="M17" s="80">
        <f>K17 - L17</f>
        <v>0</v>
      </c>
      <c r="N17" s="79"/>
      <c r="O17" s="94" t="s">
        <v>70</v>
      </c>
      <c r="P17" s="80">
        <f>SUMIFS(F2:F72,A2:A72,"大崎",E2:E72,"ベータ")</f>
        <v>3.5</v>
      </c>
      <c r="Q17" s="80">
        <f>SUMIFS(F2:F72,A2:A72,"大崎",E2:E72,"ベータ",H2:H72,"完了")</f>
        <v>0</v>
      </c>
      <c r="R17" s="80">
        <f>P17 - Q17</f>
        <v>3.5</v>
      </c>
    </row>
    <row r="18" spans="1:20" x14ac:dyDescent="0.35">
      <c r="A18" s="66" t="s">
        <v>70</v>
      </c>
      <c r="B18" s="17"/>
      <c r="C18" s="21" t="s">
        <v>34</v>
      </c>
      <c r="D18" s="3" t="s">
        <v>14</v>
      </c>
      <c r="E18" s="3" t="s">
        <v>36</v>
      </c>
      <c r="F18" s="71">
        <v>0.5</v>
      </c>
      <c r="G18" s="24"/>
      <c r="H18" s="3" t="s">
        <v>57</v>
      </c>
      <c r="I18" s="79"/>
      <c r="J18" s="95" t="s">
        <v>71</v>
      </c>
      <c r="K18" s="80">
        <f>SUMIFS(F2:F72,A2:A72,"上永",E2:E72,"アルファ")</f>
        <v>1.5</v>
      </c>
      <c r="L18" s="80">
        <f>SUMIFS(F2:F72,A2:A72,"上永",E2:E72,"アルファ",H2:H72,"完了")</f>
        <v>0.5</v>
      </c>
      <c r="M18" s="80">
        <f t="shared" ref="M18:M21" si="3">K18 - L18</f>
        <v>1</v>
      </c>
      <c r="N18" s="79"/>
      <c r="O18" s="95" t="s">
        <v>71</v>
      </c>
      <c r="P18" s="80">
        <f>SUMIFS(F2:F72,A2:A72,"上永",E2:E72,"ベータ")</f>
        <v>3</v>
      </c>
      <c r="Q18" s="80">
        <f>SUMIFS(F2:F72,A2:A72,"上永",E2:E72,"ベータ",H2:H72,"完了")</f>
        <v>0</v>
      </c>
      <c r="R18" s="80">
        <f t="shared" ref="R18:R21" si="4">P18 - Q18</f>
        <v>3</v>
      </c>
    </row>
    <row r="19" spans="1:20" x14ac:dyDescent="0.35">
      <c r="A19" s="66" t="s">
        <v>70</v>
      </c>
      <c r="B19" s="18"/>
      <c r="C19" s="13" t="s">
        <v>26</v>
      </c>
      <c r="D19" s="3" t="s">
        <v>14</v>
      </c>
      <c r="E19" s="3" t="s">
        <v>36</v>
      </c>
      <c r="F19" s="71">
        <v>0.5</v>
      </c>
      <c r="G19" s="24"/>
      <c r="H19" s="3" t="s">
        <v>57</v>
      </c>
      <c r="J19" s="96" t="s">
        <v>73</v>
      </c>
      <c r="K19" s="80">
        <f>SUMIFS(F2:F72,A2:A72,"川浪",E2:E72,"アルファ")</f>
        <v>0.5</v>
      </c>
      <c r="L19" s="80">
        <f>SUMIFS(F2:F72,A2:A72,"川浪",E2:E72,"アルファ",H2:H72,"完了")</f>
        <v>0</v>
      </c>
      <c r="M19" s="80">
        <f t="shared" si="3"/>
        <v>0.5</v>
      </c>
      <c r="O19" s="96" t="s">
        <v>73</v>
      </c>
      <c r="P19" s="80">
        <f>SUMIFS(F2:F72,A2:A72,"川浪",E2:E72,"ベータ")</f>
        <v>0</v>
      </c>
      <c r="Q19" s="80">
        <f>SUMIFS(F2:F72,A2:A72,"川浪",E2:E72,"ベータ",H2:H72,"完了")</f>
        <v>0</v>
      </c>
      <c r="R19" s="80">
        <f t="shared" si="4"/>
        <v>0</v>
      </c>
    </row>
    <row r="20" spans="1:20" x14ac:dyDescent="0.35">
      <c r="A20" s="66" t="s">
        <v>70</v>
      </c>
      <c r="B20" s="14" t="s">
        <v>35</v>
      </c>
      <c r="C20" s="20" t="s">
        <v>32</v>
      </c>
      <c r="D20" s="3" t="s">
        <v>14</v>
      </c>
      <c r="E20" s="3" t="s">
        <v>36</v>
      </c>
      <c r="F20" s="71">
        <v>0.5</v>
      </c>
      <c r="G20" s="22"/>
      <c r="H20" s="3" t="s">
        <v>57</v>
      </c>
      <c r="J20" s="97" t="s">
        <v>72</v>
      </c>
      <c r="K20" s="80">
        <f>SUMIFS(F2:F72,A2:A72,"佐々木",E2:E72,"アルファ")</f>
        <v>2.5</v>
      </c>
      <c r="L20" s="80">
        <f>SUMIFS(F2:F72,A2:A72,"佐々木",E2:E72,"アルファ",H2:H72,"完了")</f>
        <v>0</v>
      </c>
      <c r="M20" s="80">
        <f>K20 - L20</f>
        <v>2.5</v>
      </c>
      <c r="O20" s="97" t="s">
        <v>72</v>
      </c>
      <c r="P20" s="80">
        <f>SUMIFS(F2:F72,A2:A72,"佐々木",E2:E72,"ベータ")</f>
        <v>2</v>
      </c>
      <c r="Q20" s="80">
        <f>SUMIFS(F2:F72,A2:A72,"佐々木",E2:E72,"ベータ",H2:H72,"完了")</f>
        <v>0</v>
      </c>
      <c r="R20" s="80">
        <f t="shared" si="4"/>
        <v>2</v>
      </c>
    </row>
    <row r="21" spans="1:20" x14ac:dyDescent="0.4">
      <c r="A21" s="66" t="s">
        <v>70</v>
      </c>
      <c r="B21" s="17"/>
      <c r="C21" s="21" t="s">
        <v>33</v>
      </c>
      <c r="D21" s="3" t="s">
        <v>14</v>
      </c>
      <c r="E21" s="3" t="s">
        <v>36</v>
      </c>
      <c r="F21" s="71">
        <v>0.5</v>
      </c>
      <c r="G21" s="26"/>
      <c r="H21" s="3" t="s">
        <v>57</v>
      </c>
      <c r="J21" s="98" t="s">
        <v>74</v>
      </c>
      <c r="K21" s="80">
        <f>SUMIFS(F2:F72,A2:A72,"誰でも",E2:E72,"アルファ")</f>
        <v>3</v>
      </c>
      <c r="L21" s="80">
        <f>SUMIFS(F2:F72,A2:A72,"誰でも",E2:E72,"アルファ",H2:H72,"完了")</f>
        <v>0</v>
      </c>
      <c r="M21" s="80">
        <f t="shared" si="3"/>
        <v>3</v>
      </c>
      <c r="O21" s="98" t="s">
        <v>74</v>
      </c>
      <c r="P21" s="80">
        <f>SUMIFS(F2:F72,A2:A72,"誰でも",E2:E72,"ベータ")</f>
        <v>4</v>
      </c>
      <c r="Q21" s="80">
        <f>SUMIFS(F2:F72,A2:A72,"誰でも",E2:E72,"ベータ",H2:H72,"完了")</f>
        <v>0</v>
      </c>
      <c r="R21" s="80">
        <f t="shared" si="4"/>
        <v>4</v>
      </c>
    </row>
    <row r="22" spans="1:20" ht="19.5" thickBot="1" x14ac:dyDescent="0.45">
      <c r="A22" s="66" t="s">
        <v>70</v>
      </c>
      <c r="B22" s="18"/>
      <c r="C22" s="13" t="s">
        <v>34</v>
      </c>
      <c r="D22" s="3" t="s">
        <v>14</v>
      </c>
      <c r="E22" s="3" t="s">
        <v>36</v>
      </c>
      <c r="F22" s="71">
        <v>0.5</v>
      </c>
      <c r="G22" s="24"/>
      <c r="H22" s="3" t="s">
        <v>57</v>
      </c>
    </row>
    <row r="23" spans="1:20" ht="19.5" thickBot="1" x14ac:dyDescent="0.45">
      <c r="A23" s="67" t="s">
        <v>71</v>
      </c>
      <c r="B23" s="14" t="s">
        <v>37</v>
      </c>
      <c r="C23" s="20" t="s">
        <v>38</v>
      </c>
      <c r="D23" s="3" t="s">
        <v>14</v>
      </c>
      <c r="E23" s="3" t="s">
        <v>8</v>
      </c>
      <c r="F23" s="22">
        <v>1</v>
      </c>
      <c r="G23" s="16">
        <v>1</v>
      </c>
      <c r="H23" s="3" t="s">
        <v>75</v>
      </c>
      <c r="J23" s="102" t="s">
        <v>89</v>
      </c>
      <c r="K23" s="103"/>
      <c r="R23" s="129" t="s">
        <v>79</v>
      </c>
      <c r="S23" s="130" t="s">
        <v>98</v>
      </c>
      <c r="T23" s="130"/>
    </row>
    <row r="24" spans="1:20" x14ac:dyDescent="0.4">
      <c r="A24" s="67" t="s">
        <v>71</v>
      </c>
      <c r="B24" s="17"/>
      <c r="C24" s="21" t="s">
        <v>39</v>
      </c>
      <c r="D24" s="3" t="s">
        <v>14</v>
      </c>
      <c r="E24" s="3" t="s">
        <v>8</v>
      </c>
      <c r="F24" s="26">
        <v>1</v>
      </c>
      <c r="G24" s="29">
        <v>1</v>
      </c>
      <c r="H24" s="3" t="s">
        <v>75</v>
      </c>
      <c r="J24" s="104" t="s">
        <v>90</v>
      </c>
      <c r="K24" s="105" t="s">
        <v>91</v>
      </c>
      <c r="L24" s="105" t="s">
        <v>92</v>
      </c>
      <c r="M24" s="105" t="s">
        <v>93</v>
      </c>
      <c r="N24" s="105" t="s">
        <v>94</v>
      </c>
      <c r="O24" s="105" t="s">
        <v>95</v>
      </c>
      <c r="P24" s="106" t="s">
        <v>96</v>
      </c>
      <c r="R24" s="68" t="s">
        <v>80</v>
      </c>
      <c r="S24" s="68" t="s">
        <v>99</v>
      </c>
      <c r="T24" s="68"/>
    </row>
    <row r="25" spans="1:20" x14ac:dyDescent="0.4">
      <c r="A25" s="67" t="s">
        <v>71</v>
      </c>
      <c r="B25" s="17"/>
      <c r="C25" s="21" t="s">
        <v>40</v>
      </c>
      <c r="D25" s="3" t="s">
        <v>14</v>
      </c>
      <c r="E25" s="3" t="s">
        <v>8</v>
      </c>
      <c r="F25" s="23">
        <v>0.5</v>
      </c>
      <c r="G25" s="7">
        <v>0.5</v>
      </c>
      <c r="H25" s="3" t="s">
        <v>75</v>
      </c>
      <c r="J25" s="107">
        <v>1</v>
      </c>
      <c r="K25" s="26">
        <v>2</v>
      </c>
      <c r="L25" s="26">
        <v>3</v>
      </c>
      <c r="M25" s="26">
        <v>4</v>
      </c>
      <c r="N25" s="108">
        <v>5</v>
      </c>
      <c r="O25" s="108">
        <v>6</v>
      </c>
      <c r="P25" s="109">
        <v>7</v>
      </c>
      <c r="R25" s="131" t="s">
        <v>81</v>
      </c>
      <c r="S25" s="131" t="s">
        <v>100</v>
      </c>
      <c r="T25" s="131"/>
    </row>
    <row r="26" spans="1:20" x14ac:dyDescent="0.4">
      <c r="A26" s="67" t="s">
        <v>71</v>
      </c>
      <c r="B26" s="17"/>
      <c r="C26" s="21" t="s">
        <v>22</v>
      </c>
      <c r="D26" s="3" t="s">
        <v>14</v>
      </c>
      <c r="E26" s="3" t="s">
        <v>8</v>
      </c>
      <c r="F26" s="26">
        <v>1</v>
      </c>
      <c r="G26" s="29">
        <v>1</v>
      </c>
      <c r="H26" s="3" t="s">
        <v>75</v>
      </c>
      <c r="J26" s="110">
        <v>8</v>
      </c>
      <c r="K26" s="108">
        <v>9</v>
      </c>
      <c r="L26" s="108">
        <v>10</v>
      </c>
      <c r="M26" s="108">
        <v>11</v>
      </c>
      <c r="N26" s="108">
        <v>12</v>
      </c>
      <c r="O26" s="108">
        <v>13</v>
      </c>
      <c r="P26" s="109">
        <v>14</v>
      </c>
      <c r="R26" s="132" t="s">
        <v>86</v>
      </c>
      <c r="S26" s="132" t="s">
        <v>101</v>
      </c>
      <c r="T26" s="132"/>
    </row>
    <row r="27" spans="1:20" x14ac:dyDescent="0.4">
      <c r="A27" s="67" t="s">
        <v>71</v>
      </c>
      <c r="B27" s="17"/>
      <c r="C27" s="21" t="s">
        <v>41</v>
      </c>
      <c r="D27" s="3" t="s">
        <v>14</v>
      </c>
      <c r="E27" s="3" t="s">
        <v>8</v>
      </c>
      <c r="F27" s="26">
        <v>0.5</v>
      </c>
      <c r="G27" s="29">
        <v>0.5</v>
      </c>
      <c r="H27" s="3" t="s">
        <v>75</v>
      </c>
      <c r="J27" s="110">
        <v>15</v>
      </c>
      <c r="K27" s="108">
        <v>16</v>
      </c>
      <c r="L27" s="108">
        <v>17</v>
      </c>
      <c r="M27" s="108">
        <v>18</v>
      </c>
      <c r="N27" s="108">
        <v>19</v>
      </c>
      <c r="O27" s="111">
        <v>20</v>
      </c>
      <c r="P27" s="112">
        <v>21</v>
      </c>
    </row>
    <row r="28" spans="1:20" ht="19.5" thickBot="1" x14ac:dyDescent="0.45">
      <c r="A28" s="67" t="s">
        <v>71</v>
      </c>
      <c r="B28" s="18"/>
      <c r="C28" s="13" t="s">
        <v>42</v>
      </c>
      <c r="D28" s="3" t="s">
        <v>7</v>
      </c>
      <c r="E28" s="3" t="s">
        <v>36</v>
      </c>
      <c r="F28" s="23">
        <v>1</v>
      </c>
      <c r="G28" s="29"/>
      <c r="H28" s="3" t="s">
        <v>57</v>
      </c>
      <c r="J28" s="113">
        <v>22</v>
      </c>
      <c r="K28" s="114">
        <v>23</v>
      </c>
      <c r="L28" s="114">
        <v>24</v>
      </c>
      <c r="M28" s="114">
        <v>25</v>
      </c>
      <c r="N28" s="114">
        <v>26</v>
      </c>
      <c r="O28" s="114">
        <v>27</v>
      </c>
      <c r="P28" s="115">
        <v>28</v>
      </c>
      <c r="R28" s="133" t="s">
        <v>102</v>
      </c>
      <c r="S28" s="133"/>
    </row>
    <row r="29" spans="1:20" ht="19.5" thickBot="1" x14ac:dyDescent="0.45">
      <c r="A29" s="67" t="s">
        <v>71</v>
      </c>
      <c r="B29" s="14" t="s">
        <v>43</v>
      </c>
      <c r="C29" s="20" t="s">
        <v>24</v>
      </c>
      <c r="D29" s="3" t="s">
        <v>14</v>
      </c>
      <c r="E29" s="3" t="s">
        <v>8</v>
      </c>
      <c r="F29" s="16">
        <v>1</v>
      </c>
      <c r="G29" s="22">
        <v>2</v>
      </c>
      <c r="H29" s="3" t="s">
        <v>75</v>
      </c>
      <c r="J29" s="102" t="s">
        <v>97</v>
      </c>
    </row>
    <row r="30" spans="1:20" x14ac:dyDescent="0.4">
      <c r="A30" s="67" t="s">
        <v>71</v>
      </c>
      <c r="B30" s="17"/>
      <c r="C30" s="21" t="s">
        <v>44</v>
      </c>
      <c r="D30" s="3" t="s">
        <v>14</v>
      </c>
      <c r="E30" s="3" t="s">
        <v>8</v>
      </c>
      <c r="F30" s="26">
        <v>0.5</v>
      </c>
      <c r="G30" s="26">
        <v>0.5</v>
      </c>
      <c r="H30" s="3" t="s">
        <v>75</v>
      </c>
      <c r="J30" s="116" t="s">
        <v>90</v>
      </c>
      <c r="K30" s="105" t="s">
        <v>91</v>
      </c>
      <c r="L30" s="105" t="s">
        <v>92</v>
      </c>
      <c r="M30" s="105" t="s">
        <v>93</v>
      </c>
      <c r="N30" s="105" t="s">
        <v>94</v>
      </c>
      <c r="O30" s="105" t="s">
        <v>95</v>
      </c>
      <c r="P30" s="106" t="s">
        <v>96</v>
      </c>
    </row>
    <row r="31" spans="1:20" x14ac:dyDescent="0.4">
      <c r="A31" s="67" t="s">
        <v>71</v>
      </c>
      <c r="B31" s="17"/>
      <c r="C31" s="21" t="s">
        <v>45</v>
      </c>
      <c r="D31" s="3" t="s">
        <v>14</v>
      </c>
      <c r="E31" s="3" t="s">
        <v>8</v>
      </c>
      <c r="F31" s="26">
        <v>0.5</v>
      </c>
      <c r="G31" s="26">
        <v>1</v>
      </c>
      <c r="H31" s="3" t="s">
        <v>75</v>
      </c>
      <c r="J31" s="117">
        <v>1</v>
      </c>
      <c r="K31" s="118">
        <v>2</v>
      </c>
      <c r="L31" s="118">
        <v>3</v>
      </c>
      <c r="M31" s="118">
        <v>4</v>
      </c>
      <c r="N31" s="118">
        <v>5</v>
      </c>
      <c r="O31" s="118">
        <v>6</v>
      </c>
      <c r="P31" s="119">
        <v>7</v>
      </c>
    </row>
    <row r="32" spans="1:20" x14ac:dyDescent="0.4">
      <c r="A32" s="67" t="s">
        <v>71</v>
      </c>
      <c r="B32" s="18"/>
      <c r="C32" s="13" t="s">
        <v>46</v>
      </c>
      <c r="D32" s="3" t="s">
        <v>14</v>
      </c>
      <c r="E32" s="3" t="s">
        <v>8</v>
      </c>
      <c r="F32" s="19">
        <v>1</v>
      </c>
      <c r="G32" s="24">
        <v>1</v>
      </c>
      <c r="H32" s="3" t="s">
        <v>75</v>
      </c>
      <c r="J32" s="120">
        <v>8</v>
      </c>
      <c r="K32" s="118">
        <v>9</v>
      </c>
      <c r="L32" s="118">
        <v>10</v>
      </c>
      <c r="M32" s="121">
        <v>11</v>
      </c>
      <c r="N32" s="121">
        <v>12</v>
      </c>
      <c r="O32" s="121">
        <v>13</v>
      </c>
      <c r="P32" s="122">
        <v>14</v>
      </c>
    </row>
    <row r="33" spans="1:16" x14ac:dyDescent="0.4">
      <c r="A33" s="67" t="s">
        <v>71</v>
      </c>
      <c r="B33" s="14" t="s">
        <v>47</v>
      </c>
      <c r="C33" s="20" t="s">
        <v>48</v>
      </c>
      <c r="D33" s="3" t="s">
        <v>14</v>
      </c>
      <c r="E33" s="3" t="s">
        <v>36</v>
      </c>
      <c r="F33" s="22">
        <v>0.5</v>
      </c>
      <c r="G33" s="22"/>
      <c r="H33" s="3" t="s">
        <v>57</v>
      </c>
      <c r="J33" s="123">
        <v>15</v>
      </c>
      <c r="K33" s="124">
        <v>16</v>
      </c>
      <c r="L33" s="26">
        <v>17</v>
      </c>
      <c r="M33" s="26">
        <v>18</v>
      </c>
      <c r="N33" s="26">
        <v>19</v>
      </c>
      <c r="O33" s="26">
        <v>20</v>
      </c>
      <c r="P33" s="125">
        <v>21</v>
      </c>
    </row>
    <row r="34" spans="1:16" x14ac:dyDescent="0.4">
      <c r="A34" s="67" t="s">
        <v>71</v>
      </c>
      <c r="B34" s="17"/>
      <c r="C34" s="21" t="s">
        <v>32</v>
      </c>
      <c r="D34" s="3" t="s">
        <v>14</v>
      </c>
      <c r="E34" s="3" t="s">
        <v>36</v>
      </c>
      <c r="F34" s="26">
        <v>0.5</v>
      </c>
      <c r="G34" s="26"/>
      <c r="H34" s="3" t="s">
        <v>57</v>
      </c>
      <c r="J34" s="107">
        <v>22</v>
      </c>
      <c r="K34" s="26">
        <v>23</v>
      </c>
      <c r="L34" s="26">
        <v>24</v>
      </c>
      <c r="M34" s="26">
        <v>25</v>
      </c>
      <c r="N34" s="26">
        <v>26</v>
      </c>
      <c r="O34" s="26">
        <v>27</v>
      </c>
      <c r="P34" s="125">
        <v>28</v>
      </c>
    </row>
    <row r="35" spans="1:16" ht="19.5" thickBot="1" x14ac:dyDescent="0.45">
      <c r="A35" s="67" t="s">
        <v>71</v>
      </c>
      <c r="B35" s="17"/>
      <c r="C35" s="21" t="s">
        <v>33</v>
      </c>
      <c r="D35" s="3" t="s">
        <v>14</v>
      </c>
      <c r="E35" s="3" t="s">
        <v>36</v>
      </c>
      <c r="F35" s="26">
        <v>0.5</v>
      </c>
      <c r="G35" s="26"/>
      <c r="H35" s="3" t="s">
        <v>57</v>
      </c>
      <c r="J35" s="126">
        <v>29</v>
      </c>
      <c r="K35" s="127">
        <v>30</v>
      </c>
      <c r="L35" s="127">
        <v>31</v>
      </c>
      <c r="M35" s="127"/>
      <c r="N35" s="127"/>
      <c r="O35" s="127"/>
      <c r="P35" s="128"/>
    </row>
    <row r="36" spans="1:16" x14ac:dyDescent="0.4">
      <c r="A36" s="67" t="s">
        <v>71</v>
      </c>
      <c r="B36" s="18"/>
      <c r="C36" s="13" t="s">
        <v>34</v>
      </c>
      <c r="D36" s="3" t="s">
        <v>14</v>
      </c>
      <c r="E36" s="3" t="s">
        <v>36</v>
      </c>
      <c r="F36" s="24">
        <v>0.5</v>
      </c>
      <c r="G36" s="24"/>
      <c r="H36" s="3" t="s">
        <v>57</v>
      </c>
    </row>
    <row r="37" spans="1:16" x14ac:dyDescent="0.4">
      <c r="A37" s="67" t="s">
        <v>71</v>
      </c>
      <c r="B37" s="14" t="s">
        <v>49</v>
      </c>
      <c r="C37" s="20" t="s">
        <v>32</v>
      </c>
      <c r="D37" s="3" t="s">
        <v>14</v>
      </c>
      <c r="E37" s="3" t="s">
        <v>9</v>
      </c>
      <c r="F37" s="15">
        <v>0.5</v>
      </c>
      <c r="G37" s="22">
        <v>0.5</v>
      </c>
      <c r="H37" s="3" t="s">
        <v>75</v>
      </c>
    </row>
    <row r="38" spans="1:16" x14ac:dyDescent="0.4">
      <c r="A38" s="67" t="s">
        <v>71</v>
      </c>
      <c r="B38" s="17"/>
      <c r="C38" s="21" t="s">
        <v>33</v>
      </c>
      <c r="D38" s="3" t="s">
        <v>14</v>
      </c>
      <c r="E38" s="3" t="s">
        <v>9</v>
      </c>
      <c r="F38" s="25">
        <v>0.5</v>
      </c>
      <c r="G38" s="26"/>
      <c r="H38" s="3" t="s">
        <v>57</v>
      </c>
      <c r="K38" s="74"/>
    </row>
    <row r="39" spans="1:16" x14ac:dyDescent="0.4">
      <c r="A39" s="67" t="s">
        <v>71</v>
      </c>
      <c r="B39" s="17"/>
      <c r="C39" s="21" t="s">
        <v>34</v>
      </c>
      <c r="D39" s="3" t="s">
        <v>14</v>
      </c>
      <c r="E39" s="3" t="s">
        <v>9</v>
      </c>
      <c r="F39" s="25">
        <v>0.5</v>
      </c>
      <c r="G39" s="26"/>
      <c r="H39" s="3" t="s">
        <v>57</v>
      </c>
      <c r="K39" s="74"/>
    </row>
    <row r="40" spans="1:16" x14ac:dyDescent="0.4">
      <c r="A40" s="67" t="s">
        <v>71</v>
      </c>
      <c r="B40" s="18"/>
      <c r="C40" s="13" t="s">
        <v>50</v>
      </c>
      <c r="D40" s="3" t="s">
        <v>14</v>
      </c>
      <c r="E40" s="3" t="s">
        <v>8</v>
      </c>
      <c r="F40" s="9">
        <v>1</v>
      </c>
      <c r="G40" s="24">
        <v>0.5</v>
      </c>
      <c r="H40" s="3" t="s">
        <v>75</v>
      </c>
      <c r="K40" s="74"/>
    </row>
    <row r="41" spans="1:16" x14ac:dyDescent="0.4">
      <c r="A41" s="65" t="s">
        <v>72</v>
      </c>
      <c r="B41" s="14" t="s">
        <v>51</v>
      </c>
      <c r="C41" s="20" t="s">
        <v>52</v>
      </c>
      <c r="D41" s="3" t="s">
        <v>7</v>
      </c>
      <c r="E41" s="3" t="s">
        <v>36</v>
      </c>
      <c r="F41" s="15">
        <v>1</v>
      </c>
      <c r="G41" s="22"/>
      <c r="H41" s="3" t="s">
        <v>57</v>
      </c>
      <c r="K41" s="74"/>
    </row>
    <row r="42" spans="1:16" x14ac:dyDescent="0.4">
      <c r="A42" s="65" t="s">
        <v>72</v>
      </c>
      <c r="B42" s="17"/>
      <c r="C42" s="21" t="s">
        <v>32</v>
      </c>
      <c r="D42" s="3" t="s">
        <v>7</v>
      </c>
      <c r="E42" s="3" t="s">
        <v>36</v>
      </c>
      <c r="F42" s="25">
        <v>0.5</v>
      </c>
      <c r="G42" s="26"/>
      <c r="H42" s="3" t="s">
        <v>57</v>
      </c>
      <c r="K42" s="74"/>
    </row>
    <row r="43" spans="1:16" x14ac:dyDescent="0.4">
      <c r="A43" s="65" t="s">
        <v>72</v>
      </c>
      <c r="B43" s="17"/>
      <c r="C43" s="21" t="s">
        <v>33</v>
      </c>
      <c r="D43" s="3" t="s">
        <v>14</v>
      </c>
      <c r="E43" s="3" t="s">
        <v>9</v>
      </c>
      <c r="F43" s="25">
        <v>0.5</v>
      </c>
      <c r="G43" s="23"/>
      <c r="H43" s="3" t="s">
        <v>57</v>
      </c>
    </row>
    <row r="44" spans="1:16" x14ac:dyDescent="0.4">
      <c r="A44" s="65" t="s">
        <v>72</v>
      </c>
      <c r="B44" s="17"/>
      <c r="C44" s="21" t="s">
        <v>34</v>
      </c>
      <c r="D44" s="3" t="s">
        <v>7</v>
      </c>
      <c r="E44" s="3" t="s">
        <v>36</v>
      </c>
      <c r="F44" s="25">
        <v>0.5</v>
      </c>
      <c r="G44" s="26"/>
      <c r="H44" s="3" t="s">
        <v>57</v>
      </c>
    </row>
    <row r="45" spans="1:16" x14ac:dyDescent="0.4">
      <c r="A45" s="65" t="s">
        <v>72</v>
      </c>
      <c r="B45" s="17"/>
      <c r="C45" s="21" t="s">
        <v>53</v>
      </c>
      <c r="D45" s="3" t="s">
        <v>14</v>
      </c>
      <c r="E45" s="3" t="s">
        <v>9</v>
      </c>
      <c r="F45" s="25">
        <v>0.5</v>
      </c>
      <c r="G45" s="23"/>
      <c r="H45" s="3" t="s">
        <v>57</v>
      </c>
    </row>
    <row r="46" spans="1:16" x14ac:dyDescent="0.4">
      <c r="A46" s="65" t="s">
        <v>72</v>
      </c>
      <c r="B46" s="18"/>
      <c r="C46" s="13" t="s">
        <v>26</v>
      </c>
      <c r="D46" s="3" t="s">
        <v>14</v>
      </c>
      <c r="E46" s="3" t="s">
        <v>9</v>
      </c>
      <c r="F46" s="25">
        <v>0.5</v>
      </c>
      <c r="G46" s="26"/>
      <c r="H46" s="3" t="s">
        <v>57</v>
      </c>
    </row>
    <row r="47" spans="1:16" x14ac:dyDescent="0.4">
      <c r="A47" s="65" t="s">
        <v>72</v>
      </c>
      <c r="B47" s="14" t="s">
        <v>54</v>
      </c>
      <c r="C47" s="20" t="s">
        <v>28</v>
      </c>
      <c r="D47" s="3" t="s">
        <v>7</v>
      </c>
      <c r="E47" s="3" t="s">
        <v>9</v>
      </c>
      <c r="F47" s="25">
        <v>0.5</v>
      </c>
      <c r="G47" s="26"/>
      <c r="H47" s="3" t="s">
        <v>57</v>
      </c>
    </row>
    <row r="48" spans="1:16" x14ac:dyDescent="0.4">
      <c r="A48" s="65" t="s">
        <v>72</v>
      </c>
      <c r="B48" s="18"/>
      <c r="C48" s="13" t="s">
        <v>29</v>
      </c>
      <c r="D48" s="3" t="s">
        <v>7</v>
      </c>
      <c r="E48" s="3" t="s">
        <v>9</v>
      </c>
      <c r="F48" s="25">
        <v>0.5</v>
      </c>
      <c r="G48" s="24"/>
      <c r="H48" s="3" t="s">
        <v>57</v>
      </c>
    </row>
    <row r="49" spans="1:8" x14ac:dyDescent="0.4">
      <c r="A49" s="65" t="s">
        <v>72</v>
      </c>
      <c r="B49" s="14" t="s">
        <v>55</v>
      </c>
      <c r="C49" s="27" t="s">
        <v>56</v>
      </c>
      <c r="D49" s="3" t="s">
        <v>14</v>
      </c>
      <c r="E49" s="3" t="s">
        <v>8</v>
      </c>
      <c r="F49" s="28">
        <v>1</v>
      </c>
      <c r="G49" s="26">
        <v>0.5</v>
      </c>
      <c r="H49" s="3" t="s">
        <v>75</v>
      </c>
    </row>
    <row r="50" spans="1:8" x14ac:dyDescent="0.4">
      <c r="A50" s="65" t="s">
        <v>72</v>
      </c>
      <c r="B50" s="31" t="s">
        <v>58</v>
      </c>
      <c r="C50" s="32" t="s">
        <v>59</v>
      </c>
      <c r="D50" s="3" t="s">
        <v>14</v>
      </c>
      <c r="E50" s="3" t="s">
        <v>8</v>
      </c>
      <c r="F50" s="33">
        <v>3</v>
      </c>
      <c r="G50" s="34">
        <v>3</v>
      </c>
      <c r="H50" s="3" t="s">
        <v>75</v>
      </c>
    </row>
    <row r="51" spans="1:8" x14ac:dyDescent="0.4">
      <c r="A51" s="65" t="s">
        <v>72</v>
      </c>
      <c r="B51" s="39" t="s">
        <v>60</v>
      </c>
      <c r="C51" s="37" t="s">
        <v>61</v>
      </c>
      <c r="D51" s="35" t="s">
        <v>14</v>
      </c>
      <c r="E51" s="3" t="s">
        <v>63</v>
      </c>
      <c r="F51" s="40">
        <v>1</v>
      </c>
      <c r="G51" s="30"/>
      <c r="H51" s="3" t="s">
        <v>57</v>
      </c>
    </row>
    <row r="52" spans="1:8" x14ac:dyDescent="0.4">
      <c r="A52" s="65" t="s">
        <v>72</v>
      </c>
      <c r="B52" s="42"/>
      <c r="C52" s="38" t="s">
        <v>62</v>
      </c>
      <c r="D52" s="35" t="s">
        <v>14</v>
      </c>
      <c r="E52" s="41" t="s">
        <v>63</v>
      </c>
      <c r="F52" s="40">
        <v>1</v>
      </c>
      <c r="G52" s="30"/>
      <c r="H52" s="3" t="s">
        <v>57</v>
      </c>
    </row>
    <row r="53" spans="1:8" x14ac:dyDescent="0.4">
      <c r="A53" s="68" t="s">
        <v>73</v>
      </c>
      <c r="B53" s="36" t="s">
        <v>53</v>
      </c>
      <c r="C53" s="49" t="s">
        <v>64</v>
      </c>
      <c r="D53" s="43" t="s">
        <v>14</v>
      </c>
      <c r="E53" s="44" t="s">
        <v>8</v>
      </c>
      <c r="F53" s="45">
        <v>0.5</v>
      </c>
      <c r="G53" s="46">
        <v>0.5</v>
      </c>
      <c r="H53" s="44" t="s">
        <v>75</v>
      </c>
    </row>
    <row r="54" spans="1:8" x14ac:dyDescent="0.4">
      <c r="A54" s="68" t="s">
        <v>73</v>
      </c>
      <c r="B54" s="47"/>
      <c r="C54" s="50" t="s">
        <v>65</v>
      </c>
      <c r="D54" s="43" t="s">
        <v>14</v>
      </c>
      <c r="E54" s="44" t="s">
        <v>8</v>
      </c>
      <c r="F54" s="52">
        <v>1</v>
      </c>
      <c r="G54" s="53">
        <v>1</v>
      </c>
      <c r="H54" s="44" t="s">
        <v>75</v>
      </c>
    </row>
    <row r="55" spans="1:8" x14ac:dyDescent="0.4">
      <c r="A55" s="68" t="s">
        <v>73</v>
      </c>
      <c r="B55" s="47"/>
      <c r="C55" s="50" t="s">
        <v>23</v>
      </c>
      <c r="D55" s="43" t="s">
        <v>14</v>
      </c>
      <c r="E55" s="44" t="s">
        <v>8</v>
      </c>
      <c r="F55">
        <v>1</v>
      </c>
      <c r="G55" s="23">
        <v>1</v>
      </c>
      <c r="H55" s="44" t="s">
        <v>75</v>
      </c>
    </row>
    <row r="56" spans="1:8" x14ac:dyDescent="0.4">
      <c r="A56" s="68" t="s">
        <v>73</v>
      </c>
      <c r="B56" s="36" t="s">
        <v>66</v>
      </c>
      <c r="C56" s="49" t="s">
        <v>67</v>
      </c>
      <c r="D56" s="54" t="s">
        <v>14</v>
      </c>
      <c r="E56" s="55" t="s">
        <v>8</v>
      </c>
      <c r="F56" s="45">
        <v>0.5</v>
      </c>
      <c r="G56" s="63">
        <v>0.5</v>
      </c>
      <c r="H56" s="44" t="s">
        <v>75</v>
      </c>
    </row>
    <row r="57" spans="1:8" x14ac:dyDescent="0.4">
      <c r="A57" s="68" t="s">
        <v>73</v>
      </c>
      <c r="B57" s="47"/>
      <c r="C57" s="50" t="s">
        <v>26</v>
      </c>
      <c r="D57" s="58" t="s">
        <v>14</v>
      </c>
      <c r="E57" s="60" t="s">
        <v>8</v>
      </c>
      <c r="F57" s="53">
        <v>0.5</v>
      </c>
      <c r="G57" s="63">
        <v>0.5</v>
      </c>
      <c r="H57" s="44" t="s">
        <v>75</v>
      </c>
    </row>
    <row r="58" spans="1:8" x14ac:dyDescent="0.4">
      <c r="A58" s="68" t="s">
        <v>73</v>
      </c>
      <c r="B58" s="47"/>
      <c r="C58" s="50" t="s">
        <v>53</v>
      </c>
      <c r="D58" s="57" t="s">
        <v>14</v>
      </c>
      <c r="E58" s="61" t="s">
        <v>8</v>
      </c>
      <c r="F58" s="53">
        <v>0.5</v>
      </c>
      <c r="G58" s="63">
        <v>0.5</v>
      </c>
      <c r="H58" s="44" t="s">
        <v>75</v>
      </c>
    </row>
    <row r="59" spans="1:8" x14ac:dyDescent="0.4">
      <c r="A59" s="68" t="s">
        <v>73</v>
      </c>
      <c r="B59" s="47"/>
      <c r="C59" s="50" t="s">
        <v>47</v>
      </c>
      <c r="D59" s="43" t="s">
        <v>14</v>
      </c>
      <c r="E59" s="59" t="s">
        <v>9</v>
      </c>
      <c r="F59" s="53">
        <v>0.5</v>
      </c>
      <c r="G59" s="63"/>
      <c r="H59" s="44" t="s">
        <v>57</v>
      </c>
    </row>
    <row r="60" spans="1:8" x14ac:dyDescent="0.4">
      <c r="A60" s="68" t="s">
        <v>73</v>
      </c>
      <c r="B60" s="47"/>
      <c r="C60" s="50" t="s">
        <v>32</v>
      </c>
      <c r="D60" s="43" t="s">
        <v>14</v>
      </c>
      <c r="E60" s="59" t="s">
        <v>8</v>
      </c>
      <c r="F60" s="62">
        <v>0.5</v>
      </c>
      <c r="G60" s="63">
        <v>0.5</v>
      </c>
      <c r="H60" s="44" t="s">
        <v>75</v>
      </c>
    </row>
    <row r="61" spans="1:8" x14ac:dyDescent="0.4">
      <c r="A61" s="68" t="s">
        <v>73</v>
      </c>
      <c r="B61" s="47"/>
      <c r="C61" s="50" t="s">
        <v>34</v>
      </c>
      <c r="D61" s="43" t="s">
        <v>14</v>
      </c>
      <c r="E61" s="59" t="s">
        <v>8</v>
      </c>
      <c r="F61" s="53">
        <v>0.5</v>
      </c>
      <c r="G61" s="63">
        <v>0.5</v>
      </c>
      <c r="H61" s="44" t="s">
        <v>75</v>
      </c>
    </row>
    <row r="62" spans="1:8" x14ac:dyDescent="0.4">
      <c r="A62" s="68" t="s">
        <v>73</v>
      </c>
      <c r="B62" s="47"/>
      <c r="C62" s="50" t="s">
        <v>68</v>
      </c>
      <c r="D62" s="43" t="s">
        <v>14</v>
      </c>
      <c r="E62" s="59" t="s">
        <v>8</v>
      </c>
      <c r="F62" s="53">
        <v>0.5</v>
      </c>
      <c r="G62" s="63">
        <v>0.5</v>
      </c>
      <c r="H62" s="44" t="s">
        <v>75</v>
      </c>
    </row>
    <row r="63" spans="1:8" x14ac:dyDescent="0.4">
      <c r="A63" s="68" t="s">
        <v>73</v>
      </c>
      <c r="B63" s="48"/>
      <c r="C63" s="51" t="s">
        <v>37</v>
      </c>
      <c r="D63" s="56" t="s">
        <v>14</v>
      </c>
      <c r="E63" s="60" t="s">
        <v>8</v>
      </c>
      <c r="F63" s="53">
        <v>0.5</v>
      </c>
      <c r="G63" s="63">
        <v>0.5</v>
      </c>
      <c r="H63" s="58" t="s">
        <v>75</v>
      </c>
    </row>
    <row r="64" spans="1:8" x14ac:dyDescent="0.4">
      <c r="A64" s="133" t="s">
        <v>103</v>
      </c>
      <c r="B64" s="47" t="s">
        <v>104</v>
      </c>
      <c r="C64" s="50" t="s">
        <v>105</v>
      </c>
      <c r="D64" s="56" t="s">
        <v>14</v>
      </c>
      <c r="E64" s="60" t="s">
        <v>36</v>
      </c>
      <c r="F64" s="64">
        <v>1</v>
      </c>
      <c r="G64" s="134"/>
      <c r="H64" s="58" t="s">
        <v>57</v>
      </c>
    </row>
    <row r="65" spans="1:8" x14ac:dyDescent="0.4">
      <c r="A65" s="69" t="s">
        <v>74</v>
      </c>
      <c r="B65" s="36" t="s">
        <v>69</v>
      </c>
      <c r="C65" s="49" t="s">
        <v>26</v>
      </c>
      <c r="D65" s="56" t="s">
        <v>14</v>
      </c>
      <c r="E65" s="60" t="s">
        <v>8</v>
      </c>
      <c r="F65" s="64">
        <v>1</v>
      </c>
      <c r="G65" s="64">
        <v>1</v>
      </c>
      <c r="H65" s="58" t="s">
        <v>75</v>
      </c>
    </row>
    <row r="66" spans="1:8" x14ac:dyDescent="0.4">
      <c r="A66" s="69" t="s">
        <v>74</v>
      </c>
      <c r="B66" s="47"/>
      <c r="C66" s="50" t="s">
        <v>53</v>
      </c>
      <c r="D66" s="56" t="s">
        <v>14</v>
      </c>
      <c r="E66" s="60" t="s">
        <v>9</v>
      </c>
      <c r="F66" s="64">
        <v>1</v>
      </c>
      <c r="G66" s="53"/>
      <c r="H66" s="58" t="s">
        <v>76</v>
      </c>
    </row>
    <row r="67" spans="1:8" x14ac:dyDescent="0.4">
      <c r="A67" s="69" t="s">
        <v>74</v>
      </c>
      <c r="B67" s="47"/>
      <c r="C67" s="50" t="s">
        <v>47</v>
      </c>
      <c r="D67" s="56" t="s">
        <v>14</v>
      </c>
      <c r="E67" s="60" t="s">
        <v>36</v>
      </c>
      <c r="F67" s="64">
        <v>1</v>
      </c>
      <c r="G67" s="62"/>
      <c r="H67" s="58" t="s">
        <v>57</v>
      </c>
    </row>
    <row r="68" spans="1:8" x14ac:dyDescent="0.4">
      <c r="A68" s="69" t="s">
        <v>74</v>
      </c>
      <c r="B68" s="47"/>
      <c r="C68" s="50" t="s">
        <v>35</v>
      </c>
      <c r="D68" s="56" t="s">
        <v>14</v>
      </c>
      <c r="E68" s="60" t="s">
        <v>36</v>
      </c>
      <c r="F68" s="64">
        <v>1</v>
      </c>
      <c r="G68" s="53"/>
      <c r="H68" s="58" t="s">
        <v>57</v>
      </c>
    </row>
    <row r="69" spans="1:8" x14ac:dyDescent="0.4">
      <c r="A69" s="69" t="s">
        <v>74</v>
      </c>
      <c r="B69" s="47"/>
      <c r="C69" s="50" t="s">
        <v>31</v>
      </c>
      <c r="D69" s="56" t="s">
        <v>14</v>
      </c>
      <c r="E69" s="60" t="s">
        <v>36</v>
      </c>
      <c r="F69" s="64">
        <v>1</v>
      </c>
      <c r="G69" s="62"/>
      <c r="H69" s="58" t="s">
        <v>57</v>
      </c>
    </row>
    <row r="70" spans="1:8" x14ac:dyDescent="0.4">
      <c r="A70" s="69" t="s">
        <v>74</v>
      </c>
      <c r="B70" s="47"/>
      <c r="C70" s="50" t="s">
        <v>19</v>
      </c>
      <c r="D70" s="56" t="s">
        <v>14</v>
      </c>
      <c r="E70" s="60" t="s">
        <v>9</v>
      </c>
      <c r="F70" s="64">
        <v>1</v>
      </c>
      <c r="G70" s="53"/>
      <c r="H70" s="58" t="s">
        <v>57</v>
      </c>
    </row>
    <row r="71" spans="1:8" x14ac:dyDescent="0.4">
      <c r="A71" s="69" t="s">
        <v>74</v>
      </c>
      <c r="B71" s="47"/>
      <c r="C71" s="50" t="s">
        <v>52</v>
      </c>
      <c r="D71" s="56" t="s">
        <v>14</v>
      </c>
      <c r="E71" s="60" t="s">
        <v>36</v>
      </c>
      <c r="F71" s="64">
        <v>1</v>
      </c>
      <c r="G71" s="53"/>
      <c r="H71" s="58" t="s">
        <v>57</v>
      </c>
    </row>
    <row r="72" spans="1:8" x14ac:dyDescent="0.4">
      <c r="A72" s="69" t="s">
        <v>74</v>
      </c>
      <c r="B72" s="48"/>
      <c r="C72" s="51" t="s">
        <v>67</v>
      </c>
      <c r="D72" s="56" t="s">
        <v>14</v>
      </c>
      <c r="E72" s="60" t="s">
        <v>9</v>
      </c>
      <c r="F72" s="26">
        <v>1</v>
      </c>
      <c r="G72" s="73"/>
      <c r="H72" s="58" t="s">
        <v>57</v>
      </c>
    </row>
  </sheetData>
  <phoneticPr fontId="2"/>
  <dataValidations count="3">
    <dataValidation type="list" allowBlank="1" showInputMessage="1" showErrorMessage="1" sqref="H2:H72" xr:uid="{6668A6B0-AE49-40A9-BDCA-1EF7E08764AB}">
      <formula1>"未着手,作業中,完了"</formula1>
    </dataValidation>
    <dataValidation type="list" allowBlank="1" showInputMessage="1" showErrorMessage="1" sqref="E2:E72" xr:uid="{3F25CF45-EEFF-4838-8184-2DB508A95967}">
      <formula1>"プロト,アルファ,ベータ,マスタ"</formula1>
    </dataValidation>
    <dataValidation type="list" allowBlank="1" showInputMessage="1" showErrorMessage="1" sqref="D2:D72" xr:uid="{D99FF9D9-52C2-47CC-BC93-4ACF23B2DA2A}">
      <formula1>"S,A,B,C"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川浪　珀虎</dc:creator>
  <cp:lastModifiedBy>大崎　永遠</cp:lastModifiedBy>
  <dcterms:created xsi:type="dcterms:W3CDTF">2026-02-05T12:39:00Z</dcterms:created>
  <dcterms:modified xsi:type="dcterms:W3CDTF">2026-02-26T07:29:22Z</dcterms:modified>
</cp:coreProperties>
</file>