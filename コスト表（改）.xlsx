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yongy\git\Fall3\"/>
    </mc:Choice>
  </mc:AlternateContent>
  <xr:revisionPtr revIDLastSave="0" documentId="13_ncr:1_{B965D4E3-469C-4E52-BEA8-F57D0EC8E5AD}" xr6:coauthVersionLast="47" xr6:coauthVersionMax="47" xr10:uidLastSave="{00000000-0000-0000-0000-000000000000}"/>
  <bookViews>
    <workbookView xWindow="0" yWindow="1110" windowWidth="28485" windowHeight="1437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3" i="1" l="1"/>
  <c r="O25" i="1"/>
  <c r="O24" i="1"/>
  <c r="O3" i="1"/>
  <c r="O6" i="1"/>
  <c r="L26" i="1"/>
  <c r="M26" i="1" s="1"/>
  <c r="L25" i="1"/>
  <c r="M25" i="1" s="1"/>
  <c r="L24" i="1"/>
  <c r="M24" i="1" s="1"/>
  <c r="L23" i="1"/>
  <c r="M23" i="1" s="1"/>
  <c r="K22" i="1"/>
  <c r="O9" i="1"/>
  <c r="O8" i="1"/>
  <c r="O7" i="1"/>
  <c r="M19" i="1"/>
  <c r="L19" i="1"/>
  <c r="K19" i="1"/>
  <c r="M18" i="1"/>
  <c r="L18" i="1"/>
  <c r="K18" i="1"/>
  <c r="M17" i="1"/>
  <c r="L17" i="1"/>
  <c r="K17" i="1"/>
  <c r="M16" i="1"/>
  <c r="L16" i="1"/>
  <c r="K16" i="1"/>
  <c r="M15" i="1"/>
  <c r="L15" i="1"/>
  <c r="K15" i="1"/>
  <c r="S4" i="1"/>
  <c r="S8" i="1"/>
  <c r="S7" i="1"/>
  <c r="S6" i="1"/>
  <c r="S5" i="1"/>
  <c r="O4" i="1"/>
  <c r="O5" i="1"/>
  <c r="K4" i="1"/>
  <c r="K9" i="1"/>
  <c r="K8" i="1"/>
  <c r="K7" i="1"/>
  <c r="K6" i="1"/>
  <c r="K5" i="1"/>
  <c r="K11" i="1"/>
  <c r="K12" i="1" s="1"/>
  <c r="N23" i="1" l="1"/>
  <c r="N25" i="1"/>
  <c r="N24" i="1"/>
  <c r="N26" i="1"/>
  <c r="K3" i="1"/>
  <c r="L7" i="1" s="1"/>
  <c r="L8" i="1" l="1"/>
</calcChain>
</file>

<file path=xl/sharedStrings.xml><?xml version="1.0" encoding="utf-8"?>
<sst xmlns="http://schemas.openxmlformats.org/spreadsheetml/2006/main" count="431" uniqueCount="104">
  <si>
    <t>概要</t>
    <rPh sb="0" eb="2">
      <t>ガイヨウ</t>
    </rPh>
    <phoneticPr fontId="5"/>
  </si>
  <si>
    <t>詳細</t>
    <rPh sb="0" eb="2">
      <t>ショウサイ</t>
    </rPh>
    <phoneticPr fontId="5"/>
  </si>
  <si>
    <t>優先度</t>
    <rPh sb="0" eb="3">
      <t>ユウセンド</t>
    </rPh>
    <phoneticPr fontId="5"/>
  </si>
  <si>
    <t>バージョン</t>
    <phoneticPr fontId="5"/>
  </si>
  <si>
    <t>作業工数</t>
    <rPh sb="0" eb="4">
      <t>サギョウコウスウ</t>
    </rPh>
    <phoneticPr fontId="5"/>
  </si>
  <si>
    <t>実コスト</t>
    <rPh sb="0" eb="1">
      <t>ジツ</t>
    </rPh>
    <phoneticPr fontId="5"/>
  </si>
  <si>
    <t>ステータス</t>
    <phoneticPr fontId="5"/>
  </si>
  <si>
    <t>A</t>
  </si>
  <si>
    <t>プロト</t>
  </si>
  <si>
    <t>全体の作業項目数</t>
  </si>
  <si>
    <t>アルファ</t>
  </si>
  <si>
    <t>プロト</t>
    <phoneticPr fontId="5"/>
  </si>
  <si>
    <t>アルファ</t>
    <phoneticPr fontId="5"/>
  </si>
  <si>
    <t>ベータ</t>
    <phoneticPr fontId="5"/>
  </si>
  <si>
    <t>完了</t>
    <rPh sb="0" eb="2">
      <t>カンリョウ</t>
    </rPh>
    <phoneticPr fontId="5"/>
  </si>
  <si>
    <t>未着手</t>
    <rPh sb="0" eb="3">
      <t>ミチャクシュ</t>
    </rPh>
    <phoneticPr fontId="5"/>
  </si>
  <si>
    <t>当たり判定</t>
    <rPh sb="0" eb="1">
      <t>ア</t>
    </rPh>
    <rPh sb="3" eb="5">
      <t>ハンテイ</t>
    </rPh>
    <phoneticPr fontId="5"/>
  </si>
  <si>
    <t>S</t>
  </si>
  <si>
    <t>作業中</t>
    <rPh sb="0" eb="3">
      <t>サギョウチュウ</t>
    </rPh>
    <phoneticPr fontId="5"/>
  </si>
  <si>
    <t>全体の作業工数</t>
  </si>
  <si>
    <t>作成にかかる時間</t>
  </si>
  <si>
    <t>タグ分け</t>
    <rPh sb="2" eb="3">
      <t>ワ</t>
    </rPh>
    <phoneticPr fontId="4"/>
  </si>
  <si>
    <t>カプセル（キャラクター）</t>
    <phoneticPr fontId="4"/>
  </si>
  <si>
    <t>ボックス（マップ）</t>
    <phoneticPr fontId="4"/>
  </si>
  <si>
    <t>コリジョンマネージャー</t>
    <phoneticPr fontId="4"/>
  </si>
  <si>
    <t>アニメーション</t>
    <phoneticPr fontId="4"/>
  </si>
  <si>
    <t>モーション作成</t>
    <rPh sb="5" eb="7">
      <t>サクセイ</t>
    </rPh>
    <phoneticPr fontId="4"/>
  </si>
  <si>
    <t>ジャンプ</t>
    <phoneticPr fontId="4"/>
  </si>
  <si>
    <t>移動</t>
    <rPh sb="0" eb="2">
      <t>イドウ</t>
    </rPh>
    <phoneticPr fontId="4"/>
  </si>
  <si>
    <t>落下</t>
    <rPh sb="0" eb="2">
      <t>ラッカ</t>
    </rPh>
    <phoneticPr fontId="4"/>
  </si>
  <si>
    <t>マルチプレイ対応</t>
    <rPh sb="6" eb="8">
      <t>タイオウ</t>
    </rPh>
    <phoneticPr fontId="4"/>
  </si>
  <si>
    <t>B</t>
  </si>
  <si>
    <t>プレイヤー</t>
    <phoneticPr fontId="4"/>
  </si>
  <si>
    <t>サウンドマネージャー</t>
    <phoneticPr fontId="4"/>
  </si>
  <si>
    <t>ロード</t>
    <phoneticPr fontId="4"/>
  </si>
  <si>
    <t>再生</t>
    <rPh sb="0" eb="2">
      <t>サイセイ</t>
    </rPh>
    <phoneticPr fontId="4"/>
  </si>
  <si>
    <t>停止</t>
    <rPh sb="0" eb="2">
      <t>テイシ</t>
    </rPh>
    <phoneticPr fontId="4"/>
  </si>
  <si>
    <t>SE</t>
    <phoneticPr fontId="4"/>
  </si>
  <si>
    <t>タイトル</t>
    <phoneticPr fontId="4"/>
  </si>
  <si>
    <t>インゲーム</t>
    <phoneticPr fontId="4"/>
  </si>
  <si>
    <t>リザルト</t>
    <phoneticPr fontId="4"/>
  </si>
  <si>
    <t>BGM</t>
    <phoneticPr fontId="4"/>
  </si>
  <si>
    <t>ベータ</t>
  </si>
  <si>
    <t>カメラ</t>
    <phoneticPr fontId="4"/>
  </si>
  <si>
    <t>カメラコントローラー</t>
    <phoneticPr fontId="4"/>
  </si>
  <si>
    <t>カメラマネージャー</t>
    <phoneticPr fontId="4"/>
  </si>
  <si>
    <t>配置</t>
    <rPh sb="0" eb="2">
      <t>ハイチ</t>
    </rPh>
    <phoneticPr fontId="4"/>
  </si>
  <si>
    <t>回転</t>
    <rPh sb="0" eb="2">
      <t>カイテン</t>
    </rPh>
    <phoneticPr fontId="4"/>
  </si>
  <si>
    <t>光の調整</t>
    <rPh sb="0" eb="1">
      <t>ヒカリ</t>
    </rPh>
    <rPh sb="2" eb="4">
      <t>チョウセイ</t>
    </rPh>
    <phoneticPr fontId="4"/>
  </si>
  <si>
    <t>コントローラー</t>
    <phoneticPr fontId="4"/>
  </si>
  <si>
    <t>パッド対応</t>
    <rPh sb="3" eb="5">
      <t>タイオウ</t>
    </rPh>
    <phoneticPr fontId="4"/>
  </si>
  <si>
    <t>ボタン配置</t>
    <rPh sb="3" eb="5">
      <t>ハイチ</t>
    </rPh>
    <phoneticPr fontId="4"/>
  </si>
  <si>
    <t>インプットマネージャー</t>
    <phoneticPr fontId="4"/>
  </si>
  <si>
    <t>UI</t>
    <phoneticPr fontId="4"/>
  </si>
  <si>
    <t>操作説明</t>
    <rPh sb="0" eb="4">
      <t>ソウサセツメイ</t>
    </rPh>
    <phoneticPr fontId="4"/>
  </si>
  <si>
    <t>シーン遷移</t>
    <rPh sb="3" eb="5">
      <t>センイ</t>
    </rPh>
    <phoneticPr fontId="4"/>
  </si>
  <si>
    <t>シーンマネージャー作成</t>
    <rPh sb="9" eb="11">
      <t>サクセイ</t>
    </rPh>
    <phoneticPr fontId="4"/>
  </si>
  <si>
    <t>演出</t>
    <rPh sb="0" eb="2">
      <t>エンシュツ</t>
    </rPh>
    <phoneticPr fontId="4"/>
  </si>
  <si>
    <t>エフェクト</t>
    <phoneticPr fontId="4"/>
  </si>
  <si>
    <t>ステージ</t>
    <phoneticPr fontId="4"/>
  </si>
  <si>
    <t>エフェクトマネージャー</t>
    <phoneticPr fontId="4"/>
  </si>
  <si>
    <t>ゲームマネージャーベース</t>
    <phoneticPr fontId="4"/>
  </si>
  <si>
    <t>クラス作成</t>
    <rPh sb="3" eb="5">
      <t>サクセイ</t>
    </rPh>
    <phoneticPr fontId="4"/>
  </si>
  <si>
    <t>未着手</t>
  </si>
  <si>
    <t>クラス設計</t>
    <rPh sb="3" eb="5">
      <t>セッケイ</t>
    </rPh>
    <phoneticPr fontId="4"/>
  </si>
  <si>
    <t>設計者が頑張る</t>
    <rPh sb="0" eb="3">
      <t>セッケイシャ</t>
    </rPh>
    <rPh sb="4" eb="6">
      <t>ガンバ</t>
    </rPh>
    <phoneticPr fontId="4"/>
  </si>
  <si>
    <t>デバッグ</t>
    <phoneticPr fontId="4"/>
  </si>
  <si>
    <t>バグ修正</t>
    <rPh sb="2" eb="4">
      <t>シュウセイ</t>
    </rPh>
    <phoneticPr fontId="4"/>
  </si>
  <si>
    <t>最適化</t>
    <rPh sb="0" eb="3">
      <t>サイテキカ</t>
    </rPh>
    <phoneticPr fontId="4"/>
  </si>
  <si>
    <t>マスタ</t>
  </si>
  <si>
    <t>ゲームコントローラ</t>
    <phoneticPr fontId="4"/>
  </si>
  <si>
    <t>環境変数</t>
    <rPh sb="0" eb="4">
      <t>カンキョウヘンスウ</t>
    </rPh>
    <phoneticPr fontId="4"/>
  </si>
  <si>
    <t>フラグ管理</t>
    <rPh sb="3" eb="5">
      <t>カンリ</t>
    </rPh>
    <phoneticPr fontId="4"/>
  </si>
  <si>
    <t>設計</t>
    <rPh sb="0" eb="2">
      <t>セッケイ</t>
    </rPh>
    <phoneticPr fontId="4"/>
  </si>
  <si>
    <t>床</t>
    <rPh sb="0" eb="1">
      <t>ユカ</t>
    </rPh>
    <phoneticPr fontId="4"/>
  </si>
  <si>
    <t>破壊</t>
    <rPh sb="0" eb="2">
      <t>ハカイ</t>
    </rPh>
    <phoneticPr fontId="4"/>
  </si>
  <si>
    <t>仕様作成</t>
    <rPh sb="0" eb="4">
      <t>シヨウサクセイ</t>
    </rPh>
    <phoneticPr fontId="4"/>
  </si>
  <si>
    <t>必殺技</t>
    <rPh sb="0" eb="3">
      <t>ヒッサツワザ</t>
    </rPh>
    <phoneticPr fontId="4"/>
  </si>
  <si>
    <t>ゲームルール</t>
    <phoneticPr fontId="4"/>
  </si>
  <si>
    <t>素材集め</t>
    <rPh sb="0" eb="3">
      <t>ソザイアツ</t>
    </rPh>
    <phoneticPr fontId="4"/>
  </si>
  <si>
    <t>大崎</t>
    <rPh sb="0" eb="2">
      <t>オオサキ</t>
    </rPh>
    <phoneticPr fontId="4"/>
  </si>
  <si>
    <t>上永</t>
    <rPh sb="0" eb="2">
      <t>カミナガ</t>
    </rPh>
    <phoneticPr fontId="4"/>
  </si>
  <si>
    <t>佐々木</t>
    <rPh sb="0" eb="3">
      <t>ササキ</t>
    </rPh>
    <phoneticPr fontId="4"/>
  </si>
  <si>
    <t>川浪</t>
    <rPh sb="0" eb="2">
      <t>カワナミ</t>
    </rPh>
    <phoneticPr fontId="4"/>
  </si>
  <si>
    <t>誰でも</t>
    <rPh sb="0" eb="1">
      <t>ダレ</t>
    </rPh>
    <phoneticPr fontId="4"/>
  </si>
  <si>
    <t>完了</t>
  </si>
  <si>
    <t>作業中</t>
  </si>
  <si>
    <t>S</t>
    <phoneticPr fontId="4"/>
  </si>
  <si>
    <t>工数表</t>
    <rPh sb="0" eb="3">
      <t>コウスウヒョウ</t>
    </rPh>
    <phoneticPr fontId="4"/>
  </si>
  <si>
    <t>全体の工数</t>
    <rPh sb="0" eb="2">
      <t>ゼンタイ</t>
    </rPh>
    <rPh sb="3" eb="5">
      <t>コウスウ</t>
    </rPh>
    <phoneticPr fontId="4"/>
  </si>
  <si>
    <t>項目表</t>
    <rPh sb="0" eb="2">
      <t>コウモク</t>
    </rPh>
    <rPh sb="2" eb="3">
      <t>ヒョウ</t>
    </rPh>
    <phoneticPr fontId="4"/>
  </si>
  <si>
    <t>人間表</t>
    <rPh sb="0" eb="3">
      <t>ニンゲンヒョウ</t>
    </rPh>
    <phoneticPr fontId="4"/>
  </si>
  <si>
    <t>全体の人間ごとの工数</t>
    <rPh sb="0" eb="2">
      <t>ゼンタイ</t>
    </rPh>
    <rPh sb="3" eb="5">
      <t>ニンゲン</t>
    </rPh>
    <rPh sb="8" eb="10">
      <t>コウスウ</t>
    </rPh>
    <phoneticPr fontId="4"/>
  </si>
  <si>
    <t>プロト</t>
    <phoneticPr fontId="4"/>
  </si>
  <si>
    <t>アルファ</t>
    <phoneticPr fontId="4"/>
  </si>
  <si>
    <t>ベータ</t>
    <phoneticPr fontId="4"/>
  </si>
  <si>
    <t>今日の日付</t>
    <rPh sb="0" eb="2">
      <t>キョウ</t>
    </rPh>
    <rPh sb="3" eb="5">
      <t>ヒヅケ</t>
    </rPh>
    <phoneticPr fontId="4"/>
  </si>
  <si>
    <t>プロト締め切り</t>
    <rPh sb="3" eb="4">
      <t>シ</t>
    </rPh>
    <rPh sb="5" eb="6">
      <t>キ</t>
    </rPh>
    <phoneticPr fontId="4"/>
  </si>
  <si>
    <t>アルファ締め切り</t>
    <rPh sb="4" eb="5">
      <t>シ</t>
    </rPh>
    <rPh sb="6" eb="7">
      <t>キ</t>
    </rPh>
    <phoneticPr fontId="4"/>
  </si>
  <si>
    <t>ベータ締め切り</t>
    <rPh sb="3" eb="4">
      <t>シ</t>
    </rPh>
    <rPh sb="5" eb="6">
      <t>キ</t>
    </rPh>
    <phoneticPr fontId="4"/>
  </si>
  <si>
    <t>完全提出</t>
    <rPh sb="0" eb="4">
      <t>カンゼンテイシュツ</t>
    </rPh>
    <phoneticPr fontId="4"/>
  </si>
  <si>
    <t>残り日数</t>
    <rPh sb="0" eb="1">
      <t>ノコ</t>
    </rPh>
    <rPh sb="2" eb="4">
      <t>ニッスウ</t>
    </rPh>
    <phoneticPr fontId="4"/>
  </si>
  <si>
    <t>一日の平均コスト</t>
    <rPh sb="0" eb="2">
      <t>イチニチ</t>
    </rPh>
    <rPh sb="3" eb="5">
      <t>ヘイキン</t>
    </rPh>
    <phoneticPr fontId="4"/>
  </si>
  <si>
    <t>のこり一日の平均コスト</t>
    <rPh sb="3" eb="5">
      <t>イチニチ</t>
    </rPh>
    <rPh sb="6" eb="8">
      <t>ヘイキン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</si>
</sst>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1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/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18">
    <xf numFmtId="0" fontId="0" fillId="0" borderId="0" xfId="0">
      <alignment vertical="center"/>
    </xf>
    <xf numFmtId="0" fontId="3" fillId="2" borderId="1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3" borderId="1" xfId="1" applyNumberFormat="1" applyFont="1" applyFill="1" applyBorder="1" applyAlignment="1"/>
    <xf numFmtId="9" fontId="0" fillId="3" borderId="1" xfId="0" applyNumberFormat="1" applyFill="1" applyBorder="1" applyAlignment="1"/>
    <xf numFmtId="9" fontId="0" fillId="3" borderId="1" xfId="1" applyFont="1" applyFill="1" applyBorder="1" applyAlignment="1"/>
    <xf numFmtId="0" fontId="0" fillId="9" borderId="0" xfId="0" applyFill="1">
      <alignment vertical="center"/>
    </xf>
    <xf numFmtId="0" fontId="0" fillId="10" borderId="2" xfId="0" applyFill="1" applyBorder="1" applyAlignment="1"/>
    <xf numFmtId="0" fontId="0" fillId="10" borderId="3" xfId="0" applyFill="1" applyBorder="1" applyAlignment="1"/>
    <xf numFmtId="0" fontId="0" fillId="0" borderId="4" xfId="0" applyBorder="1">
      <alignment vertical="center"/>
    </xf>
    <xf numFmtId="0" fontId="0" fillId="10" borderId="5" xfId="0" applyFill="1" applyBorder="1" applyAlignment="1"/>
    <xf numFmtId="0" fontId="0" fillId="0" borderId="6" xfId="0" applyBorder="1">
      <alignment vertical="center"/>
    </xf>
    <xf numFmtId="0" fontId="0" fillId="3" borderId="8" xfId="0" applyFill="1" applyBorder="1" applyAlignment="1"/>
    <xf numFmtId="0" fontId="6" fillId="3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/>
    <xf numFmtId="0" fontId="6" fillId="5" borderId="8" xfId="0" applyFont="1" applyFill="1" applyBorder="1" applyAlignment="1"/>
    <xf numFmtId="0" fontId="6" fillId="6" borderId="8" xfId="0" applyFont="1" applyFill="1" applyBorder="1" applyAlignment="1"/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3" borderId="8" xfId="0" applyFont="1" applyFill="1" applyBorder="1" applyAlignment="1"/>
    <xf numFmtId="0" fontId="0" fillId="10" borderId="3" xfId="0" applyFill="1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9" borderId="5" xfId="0" applyFill="1" applyBorder="1">
      <alignment vertical="center"/>
    </xf>
    <xf numFmtId="0" fontId="0" fillId="10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10" borderId="12" xfId="0" applyFill="1" applyBorder="1">
      <alignment vertical="center"/>
    </xf>
    <xf numFmtId="0" fontId="0" fillId="10" borderId="13" xfId="0" applyFill="1" applyBorder="1">
      <alignment vertical="center"/>
    </xf>
    <xf numFmtId="0" fontId="0" fillId="0" borderId="14" xfId="0" applyBorder="1">
      <alignment vertical="center"/>
    </xf>
    <xf numFmtId="0" fontId="0" fillId="9" borderId="3" xfId="0" applyFill="1" applyBorder="1">
      <alignment vertical="center"/>
    </xf>
    <xf numFmtId="0" fontId="0" fillId="9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9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3" borderId="16" xfId="0" applyFill="1" applyBorder="1" applyAlignment="1"/>
    <xf numFmtId="0" fontId="2" fillId="3" borderId="16" xfId="0" applyFont="1" applyFill="1" applyBorder="1" applyAlignment="1"/>
    <xf numFmtId="0" fontId="0" fillId="0" borderId="17" xfId="0" applyBorder="1">
      <alignment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/>
    <xf numFmtId="0" fontId="0" fillId="3" borderId="20" xfId="0" applyFill="1" applyBorder="1" applyAlignment="1"/>
    <xf numFmtId="0" fontId="0" fillId="0" borderId="21" xfId="0" applyBorder="1">
      <alignment vertical="center"/>
    </xf>
    <xf numFmtId="0" fontId="0" fillId="10" borderId="22" xfId="0" applyFill="1" applyBorder="1">
      <alignment vertical="center"/>
    </xf>
    <xf numFmtId="0" fontId="0" fillId="9" borderId="23" xfId="0" applyFill="1" applyBorder="1">
      <alignment vertical="center"/>
    </xf>
    <xf numFmtId="0" fontId="0" fillId="0" borderId="25" xfId="0" applyBorder="1">
      <alignment vertical="center"/>
    </xf>
    <xf numFmtId="0" fontId="0" fillId="0" borderId="24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9" borderId="27" xfId="0" applyFill="1" applyBorder="1">
      <alignment vertical="center"/>
    </xf>
    <xf numFmtId="0" fontId="0" fillId="9" borderId="29" xfId="0" applyFill="1" applyBorder="1">
      <alignment vertical="center"/>
    </xf>
    <xf numFmtId="0" fontId="0" fillId="10" borderId="30" xfId="0" applyFill="1" applyBorder="1">
      <alignment vertical="center"/>
    </xf>
    <xf numFmtId="0" fontId="0" fillId="0" borderId="32" xfId="0" applyBorder="1">
      <alignment vertical="center"/>
    </xf>
    <xf numFmtId="0" fontId="0" fillId="3" borderId="24" xfId="0" applyFill="1" applyBorder="1" applyAlignment="1">
      <alignment horizontal="center" vertical="center"/>
    </xf>
    <xf numFmtId="0" fontId="0" fillId="0" borderId="33" xfId="0" applyBorder="1">
      <alignment vertical="center"/>
    </xf>
    <xf numFmtId="0" fontId="0" fillId="10" borderId="31" xfId="0" applyFill="1" applyBorder="1">
      <alignment vertical="center"/>
    </xf>
    <xf numFmtId="0" fontId="0" fillId="10" borderId="34" xfId="0" applyFill="1" applyBorder="1">
      <alignment vertical="center"/>
    </xf>
    <xf numFmtId="0" fontId="0" fillId="9" borderId="35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10" borderId="38" xfId="0" applyFill="1" applyBorder="1">
      <alignment vertical="center"/>
    </xf>
    <xf numFmtId="0" fontId="0" fillId="10" borderId="28" xfId="0" applyFill="1" applyBorder="1">
      <alignment vertical="center"/>
    </xf>
    <xf numFmtId="0" fontId="0" fillId="9" borderId="30" xfId="0" applyFill="1" applyBorder="1">
      <alignment vertical="center"/>
    </xf>
    <xf numFmtId="0" fontId="0" fillId="9" borderId="34" xfId="0" applyFill="1" applyBorder="1">
      <alignment vertical="center"/>
    </xf>
    <xf numFmtId="0" fontId="0" fillId="9" borderId="31" xfId="0" applyFill="1" applyBorder="1">
      <alignment vertical="center"/>
    </xf>
    <xf numFmtId="0" fontId="0" fillId="0" borderId="39" xfId="0" applyBorder="1">
      <alignment vertical="center"/>
    </xf>
    <xf numFmtId="0" fontId="0" fillId="0" borderId="40" xfId="0" applyBorder="1">
      <alignment vertical="center"/>
    </xf>
    <xf numFmtId="0" fontId="0" fillId="0" borderId="22" xfId="0" applyBorder="1">
      <alignment vertical="center"/>
    </xf>
    <xf numFmtId="0" fontId="0" fillId="3" borderId="41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4" xfId="0" applyBorder="1">
      <alignment vertical="center"/>
    </xf>
    <xf numFmtId="0" fontId="0" fillId="0" borderId="43" xfId="0" applyBorder="1">
      <alignment vertical="center"/>
    </xf>
    <xf numFmtId="0" fontId="0" fillId="0" borderId="30" xfId="0" applyBorder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10" borderId="14" xfId="0" applyFill="1" applyBorder="1" applyAlignment="1"/>
    <xf numFmtId="0" fontId="0" fillId="3" borderId="44" xfId="0" applyFill="1" applyBorder="1" applyAlignment="1"/>
    <xf numFmtId="0" fontId="0" fillId="3" borderId="45" xfId="0" applyFill="1" applyBorder="1" applyAlignment="1"/>
    <xf numFmtId="0" fontId="0" fillId="0" borderId="45" xfId="0" applyBorder="1">
      <alignment vertical="center"/>
    </xf>
    <xf numFmtId="0" fontId="6" fillId="3" borderId="1" xfId="0" applyFont="1" applyFill="1" applyBorder="1" applyAlignment="1">
      <alignment horizontal="center"/>
    </xf>
    <xf numFmtId="0" fontId="0" fillId="0" borderId="29" xfId="0" applyBorder="1">
      <alignment vertical="center"/>
    </xf>
    <xf numFmtId="0" fontId="0" fillId="0" borderId="46" xfId="0" applyBorder="1">
      <alignment vertical="center"/>
    </xf>
    <xf numFmtId="0" fontId="6" fillId="4" borderId="1" xfId="0" applyFont="1" applyFill="1" applyBorder="1" applyAlignment="1"/>
    <xf numFmtId="0" fontId="6" fillId="5" borderId="1" xfId="0" applyFont="1" applyFill="1" applyBorder="1" applyAlignment="1"/>
    <xf numFmtId="0" fontId="6" fillId="6" borderId="1" xfId="0" applyFont="1" applyFill="1" applyBorder="1" applyAlignment="1"/>
    <xf numFmtId="0" fontId="6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4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5" borderId="1" xfId="0" applyFill="1" applyBorder="1">
      <alignment vertical="center"/>
    </xf>
    <xf numFmtId="0" fontId="0" fillId="0" borderId="47" xfId="0" applyBorder="1">
      <alignment vertical="center"/>
    </xf>
    <xf numFmtId="0" fontId="6" fillId="3" borderId="48" xfId="0" applyFont="1" applyFill="1" applyBorder="1" applyAlignment="1">
      <alignment horizontal="center"/>
    </xf>
    <xf numFmtId="0" fontId="0" fillId="3" borderId="48" xfId="0" applyFill="1" applyBorder="1" applyAlignment="1"/>
    <xf numFmtId="0" fontId="0" fillId="0" borderId="48" xfId="0" applyBorder="1">
      <alignment vertical="center"/>
    </xf>
    <xf numFmtId="14" fontId="0" fillId="0" borderId="0" xfId="0" applyNumberForma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S75"/>
  <sheetViews>
    <sheetView tabSelected="1" topLeftCell="A13" workbookViewId="0">
      <selection activeCell="G3" sqref="G3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7.5" bestFit="1" customWidth="1"/>
    <col min="11" max="11" width="10.25" bestFit="1" customWidth="1"/>
    <col min="12" max="12" width="8.875" bestFit="1" customWidth="1"/>
    <col min="13" max="13" width="17.25" bestFit="1" customWidth="1"/>
    <col min="14" max="14" width="23.5" bestFit="1" customWidth="1"/>
    <col min="17" max="17" width="8.875" customWidth="1"/>
    <col min="18" max="18" width="21.5" bestFit="1" customWidth="1"/>
  </cols>
  <sheetData>
    <row r="1" spans="1:19" x14ac:dyDescent="0.4">
      <c r="I1" s="44"/>
    </row>
    <row r="2" spans="1:19" x14ac:dyDescent="0.4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43"/>
      <c r="J2" s="14" t="s">
        <v>90</v>
      </c>
      <c r="K2" s="3"/>
      <c r="L2" s="3"/>
      <c r="N2" s="38" t="s">
        <v>88</v>
      </c>
      <c r="O2" s="38"/>
      <c r="R2" s="38" t="s">
        <v>91</v>
      </c>
      <c r="S2" s="38"/>
    </row>
    <row r="3" spans="1:19" x14ac:dyDescent="0.4">
      <c r="A3" s="88" t="s">
        <v>80</v>
      </c>
      <c r="B3" s="10" t="s">
        <v>16</v>
      </c>
      <c r="C3" s="8" t="s">
        <v>21</v>
      </c>
      <c r="D3" s="4" t="s">
        <v>17</v>
      </c>
      <c r="E3" s="4" t="s">
        <v>8</v>
      </c>
      <c r="F3" s="92">
        <v>0.5</v>
      </c>
      <c r="G3" s="92">
        <v>0.5</v>
      </c>
      <c r="H3" s="4" t="s">
        <v>85</v>
      </c>
      <c r="I3" s="42"/>
      <c r="J3" s="15" t="s">
        <v>9</v>
      </c>
      <c r="K3" s="3">
        <f>SUM(K4,K5,K6)</f>
        <v>71</v>
      </c>
      <c r="L3" s="3"/>
      <c r="N3" s="107" t="s">
        <v>89</v>
      </c>
      <c r="O3" s="38">
        <f>SUM(F3:F75)</f>
        <v>51.6</v>
      </c>
      <c r="R3" s="107" t="s">
        <v>92</v>
      </c>
      <c r="S3" s="38"/>
    </row>
    <row r="4" spans="1:19" x14ac:dyDescent="0.4">
      <c r="A4" s="88" t="s">
        <v>80</v>
      </c>
      <c r="B4" s="9"/>
      <c r="C4" s="8" t="s">
        <v>22</v>
      </c>
      <c r="D4" s="4" t="s">
        <v>17</v>
      </c>
      <c r="E4" s="4" t="s">
        <v>8</v>
      </c>
      <c r="F4" s="92">
        <v>0.5</v>
      </c>
      <c r="G4" s="4"/>
      <c r="H4" s="4" t="s">
        <v>63</v>
      </c>
      <c r="I4" s="42"/>
      <c r="J4" s="16" t="s">
        <v>11</v>
      </c>
      <c r="K4" s="5">
        <f>COUNTIF(E3:E75,J4)</f>
        <v>37</v>
      </c>
      <c r="L4" s="3"/>
      <c r="N4" s="101" t="s">
        <v>11</v>
      </c>
      <c r="O4" s="38">
        <f>SUMIF(E3:E75,"プロト",F3:F75)</f>
        <v>29</v>
      </c>
      <c r="R4" s="108" t="s">
        <v>80</v>
      </c>
      <c r="S4" s="38">
        <f>SUMIF(A3:A75,"大崎",F3:F75)</f>
        <v>11.100000000000001</v>
      </c>
    </row>
    <row r="5" spans="1:19" x14ac:dyDescent="0.4">
      <c r="A5" s="88" t="s">
        <v>80</v>
      </c>
      <c r="B5" s="9"/>
      <c r="C5" s="8" t="s">
        <v>23</v>
      </c>
      <c r="D5" s="4" t="s">
        <v>17</v>
      </c>
      <c r="E5" s="4" t="s">
        <v>8</v>
      </c>
      <c r="F5" s="92">
        <v>0.5</v>
      </c>
      <c r="G5" s="4"/>
      <c r="H5" s="4" t="s">
        <v>63</v>
      </c>
      <c r="I5" s="42"/>
      <c r="J5" s="17" t="s">
        <v>12</v>
      </c>
      <c r="K5" s="5">
        <f>COUNTIF(E3:E75,J5)</f>
        <v>15</v>
      </c>
      <c r="L5" s="3"/>
      <c r="N5" s="102" t="s">
        <v>12</v>
      </c>
      <c r="O5" s="38">
        <f>SUMIF(E3:E75,"アルファ",F3:F75)</f>
        <v>8.1</v>
      </c>
      <c r="R5" s="109" t="s">
        <v>81</v>
      </c>
      <c r="S5" s="38">
        <f>SUMIF(A3:A75,"上永",F3:F75)</f>
        <v>17</v>
      </c>
    </row>
    <row r="6" spans="1:19" x14ac:dyDescent="0.4">
      <c r="A6" s="88" t="s">
        <v>80</v>
      </c>
      <c r="B6" s="12"/>
      <c r="C6" s="25" t="s">
        <v>24</v>
      </c>
      <c r="D6" s="4" t="s">
        <v>17</v>
      </c>
      <c r="E6" s="4" t="s">
        <v>8</v>
      </c>
      <c r="F6" s="92">
        <v>1</v>
      </c>
      <c r="G6" s="4"/>
      <c r="H6" s="4" t="s">
        <v>86</v>
      </c>
      <c r="I6" s="42"/>
      <c r="J6" s="18" t="s">
        <v>13</v>
      </c>
      <c r="K6" s="5">
        <f>COUNTIF(E3:E75,J6)</f>
        <v>19</v>
      </c>
      <c r="L6" s="3"/>
      <c r="N6" s="103" t="s">
        <v>13</v>
      </c>
      <c r="O6" s="38">
        <f>SUMIF(E3:E75,"ベータ",F3:F75)</f>
        <v>12.5</v>
      </c>
      <c r="R6" s="110" t="s">
        <v>83</v>
      </c>
      <c r="S6" s="38">
        <f>SUMIF(A3:A75,"川浪",F3:F75)</f>
        <v>9.5</v>
      </c>
    </row>
    <row r="7" spans="1:19" x14ac:dyDescent="0.4">
      <c r="A7" s="88" t="s">
        <v>80</v>
      </c>
      <c r="B7" s="9" t="s">
        <v>32</v>
      </c>
      <c r="C7" s="8" t="s">
        <v>25</v>
      </c>
      <c r="D7" s="4" t="s">
        <v>17</v>
      </c>
      <c r="E7" s="4" t="s">
        <v>10</v>
      </c>
      <c r="F7" s="92">
        <v>1</v>
      </c>
      <c r="G7" s="4"/>
      <c r="H7" s="4" t="s">
        <v>86</v>
      </c>
      <c r="I7" s="42"/>
      <c r="J7" s="19" t="s">
        <v>14</v>
      </c>
      <c r="K7" s="5">
        <f>COUNTIF(H3:H75,J7)</f>
        <v>14</v>
      </c>
      <c r="L7" s="6">
        <f>K7/K3</f>
        <v>0.19718309859154928</v>
      </c>
      <c r="N7" s="104" t="s">
        <v>14</v>
      </c>
      <c r="O7" s="38">
        <f>SUMIF(H3:H75,"完了",F3:F75)</f>
        <v>10</v>
      </c>
      <c r="R7" s="111" t="s">
        <v>82</v>
      </c>
      <c r="S7" s="38">
        <f>SUMIF(A3:A75,"佐々木",F3:F75)</f>
        <v>6</v>
      </c>
    </row>
    <row r="8" spans="1:19" x14ac:dyDescent="0.4">
      <c r="A8" s="88" t="s">
        <v>80</v>
      </c>
      <c r="B8" s="9"/>
      <c r="C8" s="8" t="s">
        <v>26</v>
      </c>
      <c r="D8" s="4" t="s">
        <v>31</v>
      </c>
      <c r="E8" s="4" t="s">
        <v>12</v>
      </c>
      <c r="F8" s="92">
        <v>0.5</v>
      </c>
      <c r="G8" s="4"/>
      <c r="H8" s="4" t="s">
        <v>63</v>
      </c>
      <c r="I8" s="42"/>
      <c r="J8" s="20" t="s">
        <v>15</v>
      </c>
      <c r="K8" s="5">
        <f>COUNTIF(H3:H75,J8)</f>
        <v>51</v>
      </c>
      <c r="L8" s="7">
        <f>(K8+K9)/K3</f>
        <v>0.83098591549295775</v>
      </c>
      <c r="N8" s="105" t="s">
        <v>15</v>
      </c>
      <c r="O8" s="38">
        <f>SUMIF(H3:H75,"未着手",F3:F75)</f>
        <v>35.1</v>
      </c>
      <c r="R8" s="112" t="s">
        <v>84</v>
      </c>
      <c r="S8" s="38">
        <f>SUMIF(A3:A75,"誰でも",F3:F75)</f>
        <v>8</v>
      </c>
    </row>
    <row r="9" spans="1:19" x14ac:dyDescent="0.4">
      <c r="A9" s="88" t="s">
        <v>80</v>
      </c>
      <c r="B9" s="9"/>
      <c r="C9" s="8" t="s">
        <v>27</v>
      </c>
      <c r="D9" s="4" t="s">
        <v>17</v>
      </c>
      <c r="E9" s="4" t="s">
        <v>8</v>
      </c>
      <c r="F9" s="92">
        <v>0.5</v>
      </c>
      <c r="G9" s="4"/>
      <c r="H9" s="45" t="s">
        <v>86</v>
      </c>
      <c r="I9" s="46"/>
      <c r="J9" s="15" t="s">
        <v>18</v>
      </c>
      <c r="K9" s="3">
        <f>COUNTIF(H3:H75,J9)</f>
        <v>8</v>
      </c>
      <c r="L9" s="3"/>
      <c r="N9" s="106" t="s">
        <v>18</v>
      </c>
      <c r="O9" s="38">
        <f>SUMIF(H3:H75,"作業中",F3:F75)</f>
        <v>6.5</v>
      </c>
    </row>
    <row r="10" spans="1:19" x14ac:dyDescent="0.4">
      <c r="A10" s="88" t="s">
        <v>80</v>
      </c>
      <c r="B10" s="9"/>
      <c r="C10" s="8" t="s">
        <v>28</v>
      </c>
      <c r="D10" s="4" t="s">
        <v>17</v>
      </c>
      <c r="E10" s="4" t="s">
        <v>8</v>
      </c>
      <c r="F10" s="92">
        <v>0.5</v>
      </c>
      <c r="G10" s="92">
        <v>0.5</v>
      </c>
      <c r="H10" s="4" t="s">
        <v>85</v>
      </c>
      <c r="I10" s="47"/>
      <c r="J10" s="14"/>
      <c r="K10" s="3"/>
      <c r="L10" s="3"/>
      <c r="N10" s="38"/>
      <c r="O10" s="38"/>
    </row>
    <row r="11" spans="1:19" x14ac:dyDescent="0.4">
      <c r="A11" s="88" t="s">
        <v>80</v>
      </c>
      <c r="B11" s="9"/>
      <c r="C11" s="8" t="s">
        <v>29</v>
      </c>
      <c r="D11" s="4" t="s">
        <v>17</v>
      </c>
      <c r="E11" s="4" t="s">
        <v>8</v>
      </c>
      <c r="F11" s="92">
        <v>0.5</v>
      </c>
      <c r="G11" s="92">
        <v>0.25</v>
      </c>
      <c r="H11" s="4" t="s">
        <v>85</v>
      </c>
      <c r="I11" s="42"/>
      <c r="J11" s="21" t="s">
        <v>19</v>
      </c>
      <c r="K11" s="3">
        <f>SUM(F3:F75)</f>
        <v>51.6</v>
      </c>
      <c r="L11" s="3"/>
      <c r="N11" s="38"/>
      <c r="O11" s="38"/>
    </row>
    <row r="12" spans="1:19" x14ac:dyDescent="0.4">
      <c r="A12" s="88" t="s">
        <v>80</v>
      </c>
      <c r="B12" s="9"/>
      <c r="C12" s="33" t="s">
        <v>30</v>
      </c>
      <c r="D12" s="4" t="s">
        <v>17</v>
      </c>
      <c r="E12" s="4" t="s">
        <v>8</v>
      </c>
      <c r="F12" s="92">
        <v>1</v>
      </c>
      <c r="G12" s="4"/>
      <c r="H12" s="4" t="s">
        <v>63</v>
      </c>
      <c r="I12" s="95"/>
      <c r="J12" s="98" t="s">
        <v>20</v>
      </c>
      <c r="K12" s="3">
        <f>8*K11</f>
        <v>412.8</v>
      </c>
      <c r="L12" s="3"/>
      <c r="N12" s="38"/>
      <c r="O12" s="38"/>
    </row>
    <row r="13" spans="1:19" x14ac:dyDescent="0.4">
      <c r="A13" s="88" t="s">
        <v>80</v>
      </c>
      <c r="B13" s="94"/>
      <c r="C13" s="25" t="s">
        <v>77</v>
      </c>
      <c r="D13" s="4" t="s">
        <v>87</v>
      </c>
      <c r="E13" s="4" t="s">
        <v>8</v>
      </c>
      <c r="F13" s="92">
        <v>0.5</v>
      </c>
      <c r="G13" s="92">
        <v>0.25</v>
      </c>
      <c r="H13" s="4" t="s">
        <v>85</v>
      </c>
      <c r="I13" s="96"/>
      <c r="J13" s="114"/>
      <c r="K13" s="115"/>
      <c r="L13" s="115"/>
      <c r="M13" s="116"/>
      <c r="N13" s="100"/>
    </row>
    <row r="14" spans="1:19" x14ac:dyDescent="0.4">
      <c r="A14" s="88" t="s">
        <v>80</v>
      </c>
      <c r="B14" s="22" t="s">
        <v>33</v>
      </c>
      <c r="C14" s="8" t="s">
        <v>34</v>
      </c>
      <c r="D14" s="4" t="s">
        <v>17</v>
      </c>
      <c r="E14" s="4" t="s">
        <v>10</v>
      </c>
      <c r="F14" s="92">
        <v>0.2</v>
      </c>
      <c r="G14" s="4"/>
      <c r="H14" s="4" t="s">
        <v>63</v>
      </c>
      <c r="I14" s="113"/>
      <c r="J14" s="38"/>
      <c r="K14" s="38" t="s">
        <v>93</v>
      </c>
      <c r="L14" s="38" t="s">
        <v>94</v>
      </c>
      <c r="M14" s="38" t="s">
        <v>95</v>
      </c>
      <c r="N14" s="97"/>
    </row>
    <row r="15" spans="1:19" x14ac:dyDescent="0.4">
      <c r="A15" s="88" t="s">
        <v>80</v>
      </c>
      <c r="B15" s="23"/>
      <c r="C15" s="8" t="s">
        <v>35</v>
      </c>
      <c r="D15" s="4" t="s">
        <v>17</v>
      </c>
      <c r="E15" s="4" t="s">
        <v>10</v>
      </c>
      <c r="F15" s="92">
        <v>0.2</v>
      </c>
      <c r="G15" s="4"/>
      <c r="H15" s="4" t="s">
        <v>63</v>
      </c>
      <c r="J15" s="108" t="s">
        <v>80</v>
      </c>
      <c r="K15" s="38">
        <f>SUMIFS(F3:F75,A3:A75,"大崎",E3:E75,"プロト")</f>
        <v>5.5</v>
      </c>
      <c r="L15" s="38">
        <f>SUMIFS(F3:F75,A3:A75,"大崎",E3:E75,"アルファ")</f>
        <v>2.1</v>
      </c>
      <c r="M15" s="38">
        <f>SUMIFS(F3:F75,A3:A75,"大崎",E3:E75,"ベータ")</f>
        <v>3.5</v>
      </c>
    </row>
    <row r="16" spans="1:19" x14ac:dyDescent="0.4">
      <c r="A16" s="88" t="s">
        <v>80</v>
      </c>
      <c r="B16" s="24"/>
      <c r="C16" s="25" t="s">
        <v>36</v>
      </c>
      <c r="D16" s="4" t="s">
        <v>17</v>
      </c>
      <c r="E16" s="4" t="s">
        <v>10</v>
      </c>
      <c r="F16" s="92">
        <v>0.2</v>
      </c>
      <c r="G16" s="4"/>
      <c r="H16" s="4" t="s">
        <v>63</v>
      </c>
      <c r="J16" s="109" t="s">
        <v>81</v>
      </c>
      <c r="K16" s="38">
        <f>SUMIFS(F3:F75,A3:A75,"上永",E3:E75,"プロト")</f>
        <v>8</v>
      </c>
      <c r="L16" s="38">
        <f>SUMIFS(F3:F75,A3:A75,"上永",E3:E75,"アルファ")</f>
        <v>4</v>
      </c>
      <c r="M16" s="38">
        <f>SUMIFS(F3:F75,A3:A75,"上永",E3:E75,"ベータ")</f>
        <v>5</v>
      </c>
    </row>
    <row r="17" spans="1:15" x14ac:dyDescent="0.4">
      <c r="A17" s="88" t="s">
        <v>80</v>
      </c>
      <c r="B17" s="26" t="s">
        <v>37</v>
      </c>
      <c r="C17" s="32" t="s">
        <v>38</v>
      </c>
      <c r="D17" s="4" t="s">
        <v>17</v>
      </c>
      <c r="E17" s="4" t="s">
        <v>42</v>
      </c>
      <c r="F17" s="93">
        <v>0.5</v>
      </c>
      <c r="G17" s="34"/>
      <c r="H17" s="4" t="s">
        <v>63</v>
      </c>
      <c r="J17" s="110" t="s">
        <v>83</v>
      </c>
      <c r="K17" s="38">
        <f>SUMIFS(F3:F75,A3:A75,"川浪",E3:E75,"プロト")</f>
        <v>9.5</v>
      </c>
      <c r="L17" s="38">
        <f>SUMIFS(F3:F75,A3:A75,"川浪",E3:E75,"アルファ")</f>
        <v>0</v>
      </c>
      <c r="M17" s="38">
        <f>SUMIFS(F3:F75,A3:A75,"川浪",E3:E75,"ベータ")</f>
        <v>0</v>
      </c>
    </row>
    <row r="18" spans="1:15" x14ac:dyDescent="0.4">
      <c r="A18" s="88" t="s">
        <v>80</v>
      </c>
      <c r="B18" s="29"/>
      <c r="C18" s="33" t="s">
        <v>39</v>
      </c>
      <c r="D18" s="4" t="s">
        <v>17</v>
      </c>
      <c r="E18" s="4" t="s">
        <v>42</v>
      </c>
      <c r="F18" s="93">
        <v>0.5</v>
      </c>
      <c r="G18" s="38"/>
      <c r="H18" s="4" t="s">
        <v>63</v>
      </c>
      <c r="J18" s="111" t="s">
        <v>82</v>
      </c>
      <c r="K18" s="38">
        <f>SUMIFS(F3:F75,A3:A75,"佐々木",E3:E75,"プロト")</f>
        <v>4</v>
      </c>
      <c r="L18" s="38">
        <f>SUMIFS(F3:F75,A3:A75,"佐々木",E3:E75,"アルファ")</f>
        <v>0</v>
      </c>
      <c r="M18" s="38">
        <f>SUMIFS(F3:F75,A3:A75,"佐々木",E3:E75,"ベータ")</f>
        <v>0</v>
      </c>
    </row>
    <row r="19" spans="1:15" x14ac:dyDescent="0.4">
      <c r="A19" s="88" t="s">
        <v>80</v>
      </c>
      <c r="B19" s="29"/>
      <c r="C19" s="33" t="s">
        <v>40</v>
      </c>
      <c r="D19" s="4" t="s">
        <v>17</v>
      </c>
      <c r="E19" s="4" t="s">
        <v>42</v>
      </c>
      <c r="F19" s="93">
        <v>0.5</v>
      </c>
      <c r="G19" s="36"/>
      <c r="H19" s="4" t="s">
        <v>63</v>
      </c>
      <c r="J19" s="112" t="s">
        <v>84</v>
      </c>
      <c r="K19" s="38">
        <f>SUMIFS(F3:F75,A3:A75,"誰でも",E3:E75,"プロト")</f>
        <v>2</v>
      </c>
      <c r="L19" s="38">
        <f>SUMIFS(F3:F75,A3:A75,"誰でも",E3:E75,"アルファ")</f>
        <v>2</v>
      </c>
      <c r="M19" s="38">
        <f>SUMIFS(F3:F75,A3:A75,"誰でも",E3:E75,"ベータ")</f>
        <v>4</v>
      </c>
    </row>
    <row r="20" spans="1:15" x14ac:dyDescent="0.4">
      <c r="A20" s="88" t="s">
        <v>80</v>
      </c>
      <c r="B20" s="30"/>
      <c r="C20" s="25" t="s">
        <v>32</v>
      </c>
      <c r="D20" s="4" t="s">
        <v>17</v>
      </c>
      <c r="E20" s="4" t="s">
        <v>42</v>
      </c>
      <c r="F20" s="93">
        <v>0.5</v>
      </c>
      <c r="G20" s="36"/>
      <c r="H20" s="4" t="s">
        <v>63</v>
      </c>
    </row>
    <row r="21" spans="1:15" x14ac:dyDescent="0.4">
      <c r="A21" s="88" t="s">
        <v>80</v>
      </c>
      <c r="B21" s="26" t="s">
        <v>41</v>
      </c>
      <c r="C21" s="32" t="s">
        <v>38</v>
      </c>
      <c r="D21" s="4" t="s">
        <v>17</v>
      </c>
      <c r="E21" s="4" t="s">
        <v>42</v>
      </c>
      <c r="F21" s="93">
        <v>0.5</v>
      </c>
      <c r="G21" s="34"/>
      <c r="H21" s="4" t="s">
        <v>63</v>
      </c>
      <c r="L21" t="s">
        <v>101</v>
      </c>
      <c r="M21" t="s">
        <v>102</v>
      </c>
      <c r="N21" t="s">
        <v>103</v>
      </c>
    </row>
    <row r="22" spans="1:15" x14ac:dyDescent="0.4">
      <c r="A22" s="88" t="s">
        <v>80</v>
      </c>
      <c r="B22" s="29"/>
      <c r="C22" s="33" t="s">
        <v>39</v>
      </c>
      <c r="D22" s="4" t="s">
        <v>17</v>
      </c>
      <c r="E22" s="4" t="s">
        <v>42</v>
      </c>
      <c r="F22" s="93">
        <v>0.5</v>
      </c>
      <c r="G22" s="38"/>
      <c r="H22" s="4" t="s">
        <v>63</v>
      </c>
      <c r="J22" t="s">
        <v>96</v>
      </c>
      <c r="K22" s="117">
        <f ca="1">TODAY()</f>
        <v>46068</v>
      </c>
    </row>
    <row r="23" spans="1:15" x14ac:dyDescent="0.4">
      <c r="A23" s="88" t="s">
        <v>80</v>
      </c>
      <c r="B23" s="30"/>
      <c r="C23" s="25" t="s">
        <v>40</v>
      </c>
      <c r="D23" s="4" t="s">
        <v>17</v>
      </c>
      <c r="E23" s="4" t="s">
        <v>42</v>
      </c>
      <c r="F23" s="93">
        <v>0.5</v>
      </c>
      <c r="G23" s="36"/>
      <c r="H23" s="4" t="s">
        <v>63</v>
      </c>
      <c r="J23" t="s">
        <v>97</v>
      </c>
      <c r="K23" s="117">
        <v>46072</v>
      </c>
      <c r="L23">
        <f ca="1">DATE(2026,2,19) - TODAY()</f>
        <v>4</v>
      </c>
      <c r="M23">
        <f ca="1">SUMIF(E3:E75,"プロト",F3:F75) / L23</f>
        <v>7.25</v>
      </c>
      <c r="N23">
        <f ca="1">(SUMIFS(F3:F75,E3:E75,"プロト",H3:H75,"未着手") + SUMIFS(F3:F75,E3:E75,"プロト",H3:H75,"作業中"))/ L23</f>
        <v>4.75</v>
      </c>
      <c r="O23">
        <f xml:space="preserve"> 29 / 15</f>
        <v>1.9333333333333333</v>
      </c>
    </row>
    <row r="24" spans="1:15" x14ac:dyDescent="0.4">
      <c r="A24" s="89" t="s">
        <v>81</v>
      </c>
      <c r="B24" s="26" t="s">
        <v>43</v>
      </c>
      <c r="C24" s="32" t="s">
        <v>44</v>
      </c>
      <c r="D24" s="4" t="s">
        <v>17</v>
      </c>
      <c r="E24" s="4" t="s">
        <v>8</v>
      </c>
      <c r="F24" s="34">
        <v>1</v>
      </c>
      <c r="G24" s="28"/>
      <c r="H24" s="4" t="s">
        <v>63</v>
      </c>
      <c r="J24" t="s">
        <v>98</v>
      </c>
      <c r="K24" s="117">
        <v>46082</v>
      </c>
      <c r="L24">
        <f ca="1">DATE(2026,3,1) - TODAY()</f>
        <v>14</v>
      </c>
      <c r="M24">
        <f ca="1">SUMIF(E3:E75,"アルファ",F3:F75) / L24</f>
        <v>0.57857142857142851</v>
      </c>
      <c r="N24">
        <f ca="1">(SUMIFS(F3:F75,E3:E75,"アルファ",H3:H75,"未着手") + SUMIFS(F3:F75,E3:E75,"アルファ",H3:H75,"作業中"))/ L24</f>
        <v>0.57857142857142851</v>
      </c>
      <c r="O24">
        <f xml:space="preserve"> 8.1 / 10</f>
        <v>0.80999999999999994</v>
      </c>
    </row>
    <row r="25" spans="1:15" x14ac:dyDescent="0.4">
      <c r="A25" s="89" t="s">
        <v>81</v>
      </c>
      <c r="B25" s="29"/>
      <c r="C25" s="33" t="s">
        <v>45</v>
      </c>
      <c r="D25" s="4" t="s">
        <v>17</v>
      </c>
      <c r="E25" s="4" t="s">
        <v>8</v>
      </c>
      <c r="F25" s="38">
        <v>1</v>
      </c>
      <c r="G25" s="41"/>
      <c r="H25" s="4" t="s">
        <v>63</v>
      </c>
      <c r="J25" t="s">
        <v>99</v>
      </c>
      <c r="K25" s="117">
        <v>46091</v>
      </c>
      <c r="L25">
        <f ca="1">DATE(2026,3,10) - TODAY()</f>
        <v>23</v>
      </c>
      <c r="M25">
        <f ca="1">SUMIF(E3:E75,"ベータ",F3:F75) / L25</f>
        <v>0.54347826086956519</v>
      </c>
      <c r="N25">
        <f ca="1">(SUMIFS(F3:F75,E3:E75,"ベータ",H3:H75,"未着手") + SUMIFS(F3:F75,E3:E75,"ベータ",H3:H75,"作業中"))/ L25</f>
        <v>0.54347826086956519</v>
      </c>
      <c r="O25">
        <f xml:space="preserve"> 12.5 / 9</f>
        <v>1.3888888888888888</v>
      </c>
    </row>
    <row r="26" spans="1:15" x14ac:dyDescent="0.4">
      <c r="A26" s="89" t="s">
        <v>81</v>
      </c>
      <c r="B26" s="29"/>
      <c r="C26" s="33" t="s">
        <v>46</v>
      </c>
      <c r="D26" s="4" t="s">
        <v>17</v>
      </c>
      <c r="E26" s="4" t="s">
        <v>8</v>
      </c>
      <c r="F26" s="35">
        <v>0.5</v>
      </c>
      <c r="G26" s="11"/>
      <c r="H26" s="4" t="s">
        <v>63</v>
      </c>
      <c r="J26" t="s">
        <v>100</v>
      </c>
      <c r="K26" s="117">
        <v>46096</v>
      </c>
      <c r="L26">
        <f ca="1">DATE(2026,3,15) - TODAY()</f>
        <v>28</v>
      </c>
      <c r="M26">
        <f ca="1">SUM(F3:F75) / L26</f>
        <v>1.842857142857143</v>
      </c>
      <c r="N26">
        <f ca="1" xml:space="preserve"> (O3 - O7) / L26</f>
        <v>1.4857142857142858</v>
      </c>
    </row>
    <row r="27" spans="1:15" x14ac:dyDescent="0.4">
      <c r="A27" s="89" t="s">
        <v>81</v>
      </c>
      <c r="B27" s="29"/>
      <c r="C27" s="33" t="s">
        <v>28</v>
      </c>
      <c r="D27" s="4" t="s">
        <v>17</v>
      </c>
      <c r="E27" s="4" t="s">
        <v>8</v>
      </c>
      <c r="F27" s="38">
        <v>1</v>
      </c>
      <c r="G27" s="41"/>
      <c r="H27" s="4" t="s">
        <v>63</v>
      </c>
    </row>
    <row r="28" spans="1:15" x14ac:dyDescent="0.4">
      <c r="A28" s="89" t="s">
        <v>81</v>
      </c>
      <c r="B28" s="29"/>
      <c r="C28" s="33" t="s">
        <v>47</v>
      </c>
      <c r="D28" s="4" t="s">
        <v>17</v>
      </c>
      <c r="E28" s="4" t="s">
        <v>8</v>
      </c>
      <c r="F28" s="35">
        <v>0.5</v>
      </c>
      <c r="G28" s="41"/>
      <c r="H28" s="4" t="s">
        <v>63</v>
      </c>
    </row>
    <row r="29" spans="1:15" x14ac:dyDescent="0.4">
      <c r="A29" s="89" t="s">
        <v>81</v>
      </c>
      <c r="B29" s="30"/>
      <c r="C29" s="25" t="s">
        <v>48</v>
      </c>
      <c r="D29" s="4" t="s">
        <v>7</v>
      </c>
      <c r="E29" s="4" t="s">
        <v>42</v>
      </c>
      <c r="F29" s="36">
        <v>1</v>
      </c>
      <c r="G29" s="31"/>
      <c r="H29" s="4" t="s">
        <v>63</v>
      </c>
    </row>
    <row r="30" spans="1:15" x14ac:dyDescent="0.4">
      <c r="A30" s="89" t="s">
        <v>81</v>
      </c>
      <c r="B30" s="26" t="s">
        <v>49</v>
      </c>
      <c r="C30" s="32" t="s">
        <v>30</v>
      </c>
      <c r="D30" s="4" t="s">
        <v>17</v>
      </c>
      <c r="E30" s="4" t="s">
        <v>8</v>
      </c>
      <c r="F30" s="28">
        <v>1</v>
      </c>
      <c r="G30" s="34"/>
      <c r="H30" s="4" t="s">
        <v>63</v>
      </c>
    </row>
    <row r="31" spans="1:15" x14ac:dyDescent="0.4">
      <c r="A31" s="89" t="s">
        <v>81</v>
      </c>
      <c r="B31" s="29"/>
      <c r="C31" s="33" t="s">
        <v>50</v>
      </c>
      <c r="D31" s="4" t="s">
        <v>17</v>
      </c>
      <c r="E31" s="4" t="s">
        <v>8</v>
      </c>
      <c r="F31" s="38">
        <v>0.5</v>
      </c>
      <c r="G31" s="38">
        <v>0.5</v>
      </c>
      <c r="H31" s="4" t="s">
        <v>85</v>
      </c>
    </row>
    <row r="32" spans="1:15" x14ac:dyDescent="0.4">
      <c r="A32" s="89" t="s">
        <v>81</v>
      </c>
      <c r="B32" s="29"/>
      <c r="C32" s="33" t="s">
        <v>51</v>
      </c>
      <c r="D32" s="4" t="s">
        <v>17</v>
      </c>
      <c r="E32" s="4" t="s">
        <v>8</v>
      </c>
      <c r="F32" s="38">
        <v>0.5</v>
      </c>
      <c r="G32" s="38"/>
      <c r="H32" s="4" t="s">
        <v>86</v>
      </c>
    </row>
    <row r="33" spans="1:8" x14ac:dyDescent="0.4">
      <c r="A33" s="89" t="s">
        <v>81</v>
      </c>
      <c r="B33" s="30"/>
      <c r="C33" s="25" t="s">
        <v>52</v>
      </c>
      <c r="D33" s="4" t="s">
        <v>17</v>
      </c>
      <c r="E33" s="4" t="s">
        <v>8</v>
      </c>
      <c r="F33" s="31">
        <v>1</v>
      </c>
      <c r="G33" s="36"/>
      <c r="H33" s="4" t="s">
        <v>63</v>
      </c>
    </row>
    <row r="34" spans="1:8" x14ac:dyDescent="0.4">
      <c r="A34" s="89" t="s">
        <v>81</v>
      </c>
      <c r="B34" s="26" t="s">
        <v>53</v>
      </c>
      <c r="C34" s="32" t="s">
        <v>54</v>
      </c>
      <c r="D34" s="4" t="s">
        <v>17</v>
      </c>
      <c r="E34" s="4" t="s">
        <v>42</v>
      </c>
      <c r="F34" s="34">
        <v>0.5</v>
      </c>
      <c r="G34" s="34"/>
      <c r="H34" s="4" t="s">
        <v>63</v>
      </c>
    </row>
    <row r="35" spans="1:8" x14ac:dyDescent="0.4">
      <c r="A35" s="89" t="s">
        <v>81</v>
      </c>
      <c r="B35" s="29"/>
      <c r="C35" s="33" t="s">
        <v>38</v>
      </c>
      <c r="D35" s="4" t="s">
        <v>17</v>
      </c>
      <c r="E35" s="4" t="s">
        <v>42</v>
      </c>
      <c r="F35" s="38">
        <v>0.5</v>
      </c>
      <c r="G35" s="38"/>
      <c r="H35" s="4" t="s">
        <v>63</v>
      </c>
    </row>
    <row r="36" spans="1:8" x14ac:dyDescent="0.4">
      <c r="A36" s="89" t="s">
        <v>81</v>
      </c>
      <c r="B36" s="29"/>
      <c r="C36" s="33" t="s">
        <v>39</v>
      </c>
      <c r="D36" s="4" t="s">
        <v>17</v>
      </c>
      <c r="E36" s="4" t="s">
        <v>42</v>
      </c>
      <c r="F36" s="38">
        <v>0.5</v>
      </c>
      <c r="G36" s="38"/>
      <c r="H36" s="4" t="s">
        <v>63</v>
      </c>
    </row>
    <row r="37" spans="1:8" x14ac:dyDescent="0.4">
      <c r="A37" s="89" t="s">
        <v>81</v>
      </c>
      <c r="B37" s="30"/>
      <c r="C37" s="25" t="s">
        <v>40</v>
      </c>
      <c r="D37" s="4" t="s">
        <v>17</v>
      </c>
      <c r="E37" s="4" t="s">
        <v>42</v>
      </c>
      <c r="F37" s="36">
        <v>0.5</v>
      </c>
      <c r="G37" s="36"/>
      <c r="H37" s="4" t="s">
        <v>63</v>
      </c>
    </row>
    <row r="38" spans="1:8" x14ac:dyDescent="0.4">
      <c r="A38" s="89" t="s">
        <v>81</v>
      </c>
      <c r="B38" s="26" t="s">
        <v>55</v>
      </c>
      <c r="C38" s="32" t="s">
        <v>38</v>
      </c>
      <c r="D38" s="4" t="s">
        <v>17</v>
      </c>
      <c r="E38" s="4" t="s">
        <v>10</v>
      </c>
      <c r="F38" s="27">
        <v>0.5</v>
      </c>
      <c r="G38" s="34"/>
      <c r="H38" s="4" t="s">
        <v>63</v>
      </c>
    </row>
    <row r="39" spans="1:8" x14ac:dyDescent="0.4">
      <c r="A39" s="89" t="s">
        <v>81</v>
      </c>
      <c r="B39" s="29"/>
      <c r="C39" s="33" t="s">
        <v>39</v>
      </c>
      <c r="D39" s="4" t="s">
        <v>17</v>
      </c>
      <c r="E39" s="4" t="s">
        <v>10</v>
      </c>
      <c r="F39" s="37">
        <v>0.5</v>
      </c>
      <c r="G39" s="38"/>
      <c r="H39" s="4" t="s">
        <v>63</v>
      </c>
    </row>
    <row r="40" spans="1:8" x14ac:dyDescent="0.4">
      <c r="A40" s="89" t="s">
        <v>81</v>
      </c>
      <c r="B40" s="29"/>
      <c r="C40" s="33" t="s">
        <v>40</v>
      </c>
      <c r="D40" s="4" t="s">
        <v>17</v>
      </c>
      <c r="E40" s="4" t="s">
        <v>10</v>
      </c>
      <c r="F40" s="37">
        <v>0.5</v>
      </c>
      <c r="G40" s="38"/>
      <c r="H40" s="4" t="s">
        <v>63</v>
      </c>
    </row>
    <row r="41" spans="1:8" x14ac:dyDescent="0.4">
      <c r="A41" s="89" t="s">
        <v>81</v>
      </c>
      <c r="B41" s="30"/>
      <c r="C41" s="25" t="s">
        <v>56</v>
      </c>
      <c r="D41" s="4" t="s">
        <v>17</v>
      </c>
      <c r="E41" s="4" t="s">
        <v>8</v>
      </c>
      <c r="F41" s="13">
        <v>1</v>
      </c>
      <c r="G41" s="36"/>
      <c r="H41" s="4" t="s">
        <v>63</v>
      </c>
    </row>
    <row r="42" spans="1:8" x14ac:dyDescent="0.4">
      <c r="A42" s="89" t="s">
        <v>81</v>
      </c>
      <c r="B42" s="26" t="s">
        <v>57</v>
      </c>
      <c r="C42" s="32" t="s">
        <v>58</v>
      </c>
      <c r="D42" s="4" t="s">
        <v>7</v>
      </c>
      <c r="E42" s="4" t="s">
        <v>42</v>
      </c>
      <c r="F42" s="27">
        <v>1</v>
      </c>
      <c r="G42" s="34"/>
      <c r="H42" s="4" t="s">
        <v>63</v>
      </c>
    </row>
    <row r="43" spans="1:8" x14ac:dyDescent="0.4">
      <c r="A43" s="89" t="s">
        <v>81</v>
      </c>
      <c r="B43" s="29"/>
      <c r="C43" s="33" t="s">
        <v>38</v>
      </c>
      <c r="D43" s="4" t="s">
        <v>7</v>
      </c>
      <c r="E43" s="4" t="s">
        <v>42</v>
      </c>
      <c r="F43" s="37">
        <v>0.5</v>
      </c>
      <c r="G43" s="38"/>
      <c r="H43" s="4" t="s">
        <v>63</v>
      </c>
    </row>
    <row r="44" spans="1:8" x14ac:dyDescent="0.4">
      <c r="A44" s="89" t="s">
        <v>81</v>
      </c>
      <c r="B44" s="29"/>
      <c r="C44" s="33" t="s">
        <v>39</v>
      </c>
      <c r="D44" s="4" t="s">
        <v>17</v>
      </c>
      <c r="E44" s="4" t="s">
        <v>10</v>
      </c>
      <c r="F44" s="37">
        <v>0.5</v>
      </c>
      <c r="G44" s="35"/>
      <c r="H44" s="4" t="s">
        <v>63</v>
      </c>
    </row>
    <row r="45" spans="1:8" x14ac:dyDescent="0.4">
      <c r="A45" s="89" t="s">
        <v>81</v>
      </c>
      <c r="B45" s="29"/>
      <c r="C45" s="33" t="s">
        <v>40</v>
      </c>
      <c r="D45" s="4" t="s">
        <v>7</v>
      </c>
      <c r="E45" s="4" t="s">
        <v>42</v>
      </c>
      <c r="F45" s="37">
        <v>0.5</v>
      </c>
      <c r="G45" s="38"/>
      <c r="H45" s="4" t="s">
        <v>63</v>
      </c>
    </row>
    <row r="46" spans="1:8" x14ac:dyDescent="0.4">
      <c r="A46" s="89" t="s">
        <v>81</v>
      </c>
      <c r="B46" s="29"/>
      <c r="C46" s="33" t="s">
        <v>59</v>
      </c>
      <c r="D46" s="4" t="s">
        <v>17</v>
      </c>
      <c r="E46" s="4" t="s">
        <v>10</v>
      </c>
      <c r="F46" s="37">
        <v>0.5</v>
      </c>
      <c r="G46" s="35"/>
      <c r="H46" s="4" t="s">
        <v>63</v>
      </c>
    </row>
    <row r="47" spans="1:8" x14ac:dyDescent="0.4">
      <c r="A47" s="89" t="s">
        <v>81</v>
      </c>
      <c r="B47" s="30"/>
      <c r="C47" s="25" t="s">
        <v>32</v>
      </c>
      <c r="D47" s="4" t="s">
        <v>17</v>
      </c>
      <c r="E47" s="4" t="s">
        <v>10</v>
      </c>
      <c r="F47" s="37">
        <v>0.5</v>
      </c>
      <c r="G47" s="38"/>
      <c r="H47" s="4" t="s">
        <v>63</v>
      </c>
    </row>
    <row r="48" spans="1:8" x14ac:dyDescent="0.4">
      <c r="A48" s="89" t="s">
        <v>81</v>
      </c>
      <c r="B48" s="26" t="s">
        <v>60</v>
      </c>
      <c r="C48" s="32" t="s">
        <v>34</v>
      </c>
      <c r="D48" s="4" t="s">
        <v>7</v>
      </c>
      <c r="E48" s="4" t="s">
        <v>10</v>
      </c>
      <c r="F48" s="37">
        <v>0.5</v>
      </c>
      <c r="G48" s="38"/>
      <c r="H48" s="4" t="s">
        <v>63</v>
      </c>
    </row>
    <row r="49" spans="1:8" x14ac:dyDescent="0.4">
      <c r="A49" s="89" t="s">
        <v>81</v>
      </c>
      <c r="B49" s="30"/>
      <c r="C49" s="25" t="s">
        <v>35</v>
      </c>
      <c r="D49" s="4" t="s">
        <v>7</v>
      </c>
      <c r="E49" s="4" t="s">
        <v>10</v>
      </c>
      <c r="F49" s="37">
        <v>0.5</v>
      </c>
      <c r="G49" s="36"/>
      <c r="H49" s="4" t="s">
        <v>63</v>
      </c>
    </row>
    <row r="50" spans="1:8" x14ac:dyDescent="0.4">
      <c r="A50" s="87" t="s">
        <v>82</v>
      </c>
      <c r="B50" s="26" t="s">
        <v>61</v>
      </c>
      <c r="C50" s="39" t="s">
        <v>62</v>
      </c>
      <c r="D50" s="4" t="s">
        <v>17</v>
      </c>
      <c r="E50" s="4" t="s">
        <v>8</v>
      </c>
      <c r="F50" s="40">
        <v>1</v>
      </c>
      <c r="G50" s="38"/>
      <c r="H50" s="4" t="s">
        <v>86</v>
      </c>
    </row>
    <row r="51" spans="1:8" x14ac:dyDescent="0.4">
      <c r="A51" s="87" t="s">
        <v>82</v>
      </c>
      <c r="B51" s="49" t="s">
        <v>64</v>
      </c>
      <c r="C51" s="50" t="s">
        <v>65</v>
      </c>
      <c r="D51" s="4" t="s">
        <v>17</v>
      </c>
      <c r="E51" s="4" t="s">
        <v>8</v>
      </c>
      <c r="F51" s="51">
        <v>3</v>
      </c>
      <c r="G51" s="52">
        <v>3</v>
      </c>
      <c r="H51" s="4" t="s">
        <v>85</v>
      </c>
    </row>
    <row r="52" spans="1:8" x14ac:dyDescent="0.4">
      <c r="A52" s="87" t="s">
        <v>82</v>
      </c>
      <c r="B52" s="57" t="s">
        <v>66</v>
      </c>
      <c r="C52" s="55" t="s">
        <v>67</v>
      </c>
      <c r="D52" s="53" t="s">
        <v>17</v>
      </c>
      <c r="E52" s="4" t="s">
        <v>69</v>
      </c>
      <c r="F52" s="58">
        <v>1</v>
      </c>
      <c r="G52" s="48"/>
      <c r="H52" s="4" t="s">
        <v>63</v>
      </c>
    </row>
    <row r="53" spans="1:8" x14ac:dyDescent="0.4">
      <c r="A53" s="87" t="s">
        <v>82</v>
      </c>
      <c r="B53" s="61"/>
      <c r="C53" s="56" t="s">
        <v>68</v>
      </c>
      <c r="D53" s="53" t="s">
        <v>17</v>
      </c>
      <c r="E53" s="59" t="s">
        <v>69</v>
      </c>
      <c r="F53" s="58">
        <v>1</v>
      </c>
      <c r="G53" s="48"/>
      <c r="H53" s="4" t="s">
        <v>63</v>
      </c>
    </row>
    <row r="54" spans="1:8" x14ac:dyDescent="0.4">
      <c r="A54" s="90" t="s">
        <v>83</v>
      </c>
      <c r="B54" s="57" t="s">
        <v>70</v>
      </c>
      <c r="C54" s="55" t="s">
        <v>71</v>
      </c>
      <c r="D54" s="53" t="s">
        <v>17</v>
      </c>
      <c r="E54" s="59" t="s">
        <v>8</v>
      </c>
      <c r="F54" s="60">
        <v>1</v>
      </c>
      <c r="G54" s="48"/>
      <c r="H54" s="4" t="s">
        <v>63</v>
      </c>
    </row>
    <row r="55" spans="1:8" x14ac:dyDescent="0.4">
      <c r="A55" s="90" t="s">
        <v>83</v>
      </c>
      <c r="B55" s="62"/>
      <c r="C55" s="63" t="s">
        <v>72</v>
      </c>
      <c r="D55" s="64" t="s">
        <v>17</v>
      </c>
      <c r="E55" s="65" t="s">
        <v>8</v>
      </c>
      <c r="F55">
        <v>1</v>
      </c>
      <c r="G55" s="35"/>
      <c r="H55" s="65" t="s">
        <v>63</v>
      </c>
    </row>
    <row r="56" spans="1:8" x14ac:dyDescent="0.4">
      <c r="A56" s="90" t="s">
        <v>83</v>
      </c>
      <c r="B56" s="54" t="s">
        <v>59</v>
      </c>
      <c r="C56" s="70" t="s">
        <v>73</v>
      </c>
      <c r="D56" s="64" t="s">
        <v>17</v>
      </c>
      <c r="E56" s="65" t="s">
        <v>8</v>
      </c>
      <c r="F56" s="66">
        <v>0.5</v>
      </c>
      <c r="G56" s="67"/>
      <c r="H56" s="65" t="s">
        <v>86</v>
      </c>
    </row>
    <row r="57" spans="1:8" x14ac:dyDescent="0.4">
      <c r="A57" s="90" t="s">
        <v>83</v>
      </c>
      <c r="B57" s="68"/>
      <c r="C57" s="71" t="s">
        <v>74</v>
      </c>
      <c r="D57" s="64" t="s">
        <v>17</v>
      </c>
      <c r="E57" s="65" t="s">
        <v>8</v>
      </c>
      <c r="F57" s="74">
        <v>1</v>
      </c>
      <c r="G57" s="75">
        <v>1</v>
      </c>
      <c r="H57" s="65" t="s">
        <v>85</v>
      </c>
    </row>
    <row r="58" spans="1:8" x14ac:dyDescent="0.4">
      <c r="A58" s="90" t="s">
        <v>83</v>
      </c>
      <c r="B58" s="68"/>
      <c r="C58" s="71" t="s">
        <v>75</v>
      </c>
      <c r="D58" s="64" t="s">
        <v>17</v>
      </c>
      <c r="E58" s="65" t="s">
        <v>8</v>
      </c>
      <c r="F58" s="74">
        <v>1</v>
      </c>
      <c r="G58" s="73"/>
      <c r="H58" s="65" t="s">
        <v>63</v>
      </c>
    </row>
    <row r="59" spans="1:8" x14ac:dyDescent="0.4">
      <c r="A59" s="90" t="s">
        <v>83</v>
      </c>
      <c r="B59" s="68"/>
      <c r="C59" s="71" t="s">
        <v>29</v>
      </c>
      <c r="D59" s="64" t="s">
        <v>17</v>
      </c>
      <c r="E59" s="65" t="s">
        <v>8</v>
      </c>
      <c r="F59">
        <v>1</v>
      </c>
      <c r="G59" s="35"/>
      <c r="H59" s="65" t="s">
        <v>63</v>
      </c>
    </row>
    <row r="60" spans="1:8" x14ac:dyDescent="0.4">
      <c r="A60" s="90" t="s">
        <v>83</v>
      </c>
      <c r="B60" s="54" t="s">
        <v>76</v>
      </c>
      <c r="C60" s="70" t="s">
        <v>77</v>
      </c>
      <c r="D60" s="76" t="s">
        <v>17</v>
      </c>
      <c r="E60" s="77" t="s">
        <v>8</v>
      </c>
      <c r="F60" s="66">
        <v>0.5</v>
      </c>
      <c r="G60" s="85">
        <v>0.5</v>
      </c>
      <c r="H60" s="65" t="s">
        <v>85</v>
      </c>
    </row>
    <row r="61" spans="1:8" x14ac:dyDescent="0.4">
      <c r="A61" s="90" t="s">
        <v>83</v>
      </c>
      <c r="B61" s="68"/>
      <c r="C61" s="71" t="s">
        <v>32</v>
      </c>
      <c r="D61" s="80" t="s">
        <v>17</v>
      </c>
      <c r="E61" s="82" t="s">
        <v>8</v>
      </c>
      <c r="F61" s="75">
        <v>0.5</v>
      </c>
      <c r="G61" s="85">
        <v>0.5</v>
      </c>
      <c r="H61" s="65" t="s">
        <v>85</v>
      </c>
    </row>
    <row r="62" spans="1:8" x14ac:dyDescent="0.4">
      <c r="A62" s="90" t="s">
        <v>83</v>
      </c>
      <c r="B62" s="68"/>
      <c r="C62" s="71" t="s">
        <v>59</v>
      </c>
      <c r="D62" s="79" t="s">
        <v>17</v>
      </c>
      <c r="E62" s="83" t="s">
        <v>8</v>
      </c>
      <c r="F62" s="75">
        <v>0.5</v>
      </c>
      <c r="G62" s="85">
        <v>0.5</v>
      </c>
      <c r="H62" s="65" t="s">
        <v>85</v>
      </c>
    </row>
    <row r="63" spans="1:8" x14ac:dyDescent="0.4">
      <c r="A63" s="90" t="s">
        <v>83</v>
      </c>
      <c r="B63" s="68"/>
      <c r="C63" s="71" t="s">
        <v>53</v>
      </c>
      <c r="D63" s="64" t="s">
        <v>17</v>
      </c>
      <c r="E63" s="81" t="s">
        <v>8</v>
      </c>
      <c r="F63" s="75">
        <v>0.5</v>
      </c>
      <c r="G63" s="85"/>
      <c r="H63" s="65" t="s">
        <v>63</v>
      </c>
    </row>
    <row r="64" spans="1:8" x14ac:dyDescent="0.4">
      <c r="A64" s="90" t="s">
        <v>83</v>
      </c>
      <c r="B64" s="68"/>
      <c r="C64" s="71" t="s">
        <v>38</v>
      </c>
      <c r="D64" s="64" t="s">
        <v>17</v>
      </c>
      <c r="E64" s="81" t="s">
        <v>8</v>
      </c>
      <c r="F64" s="84">
        <v>0.5</v>
      </c>
      <c r="G64" s="85">
        <v>0.5</v>
      </c>
      <c r="H64" s="65" t="s">
        <v>85</v>
      </c>
    </row>
    <row r="65" spans="1:8" x14ac:dyDescent="0.4">
      <c r="A65" s="90" t="s">
        <v>83</v>
      </c>
      <c r="B65" s="68"/>
      <c r="C65" s="71" t="s">
        <v>40</v>
      </c>
      <c r="D65" s="64" t="s">
        <v>17</v>
      </c>
      <c r="E65" s="81" t="s">
        <v>8</v>
      </c>
      <c r="F65" s="75">
        <v>0.5</v>
      </c>
      <c r="G65" s="85">
        <v>0.5</v>
      </c>
      <c r="H65" s="65" t="s">
        <v>85</v>
      </c>
    </row>
    <row r="66" spans="1:8" x14ac:dyDescent="0.4">
      <c r="A66" s="90" t="s">
        <v>83</v>
      </c>
      <c r="B66" s="68"/>
      <c r="C66" s="71" t="s">
        <v>78</v>
      </c>
      <c r="D66" s="64" t="s">
        <v>17</v>
      </c>
      <c r="E66" s="81" t="s">
        <v>8</v>
      </c>
      <c r="F66" s="75">
        <v>0.5</v>
      </c>
      <c r="G66" s="85">
        <v>0.5</v>
      </c>
      <c r="H66" s="65" t="s">
        <v>85</v>
      </c>
    </row>
    <row r="67" spans="1:8" x14ac:dyDescent="0.4">
      <c r="A67" s="90" t="s">
        <v>83</v>
      </c>
      <c r="B67" s="69"/>
      <c r="C67" s="72" t="s">
        <v>43</v>
      </c>
      <c r="D67" s="78" t="s">
        <v>17</v>
      </c>
      <c r="E67" s="82" t="s">
        <v>8</v>
      </c>
      <c r="F67" s="75">
        <v>0.5</v>
      </c>
      <c r="G67" s="85">
        <v>0.5</v>
      </c>
      <c r="H67" s="80" t="s">
        <v>85</v>
      </c>
    </row>
    <row r="68" spans="1:8" x14ac:dyDescent="0.4">
      <c r="A68" s="91" t="s">
        <v>84</v>
      </c>
      <c r="B68" s="54" t="s">
        <v>79</v>
      </c>
      <c r="C68" s="70" t="s">
        <v>32</v>
      </c>
      <c r="D68" s="78" t="s">
        <v>17</v>
      </c>
      <c r="E68" s="82" t="s">
        <v>8</v>
      </c>
      <c r="F68" s="86">
        <v>1</v>
      </c>
      <c r="G68" s="86"/>
      <c r="H68" s="80" t="s">
        <v>86</v>
      </c>
    </row>
    <row r="69" spans="1:8" x14ac:dyDescent="0.4">
      <c r="A69" s="91" t="s">
        <v>84</v>
      </c>
      <c r="B69" s="68"/>
      <c r="C69" s="71" t="s">
        <v>59</v>
      </c>
      <c r="D69" s="78" t="s">
        <v>17</v>
      </c>
      <c r="E69" s="82" t="s">
        <v>8</v>
      </c>
      <c r="F69" s="86">
        <v>1</v>
      </c>
      <c r="G69" s="75"/>
      <c r="H69" s="80" t="s">
        <v>86</v>
      </c>
    </row>
    <row r="70" spans="1:8" x14ac:dyDescent="0.4">
      <c r="A70" s="91" t="s">
        <v>84</v>
      </c>
      <c r="B70" s="68"/>
      <c r="C70" s="71" t="s">
        <v>53</v>
      </c>
      <c r="D70" s="78" t="s">
        <v>17</v>
      </c>
      <c r="E70" s="82" t="s">
        <v>42</v>
      </c>
      <c r="F70" s="86">
        <v>1</v>
      </c>
      <c r="G70" s="84"/>
      <c r="H70" s="80" t="s">
        <v>63</v>
      </c>
    </row>
    <row r="71" spans="1:8" x14ac:dyDescent="0.4">
      <c r="A71" s="91" t="s">
        <v>84</v>
      </c>
      <c r="B71" s="68"/>
      <c r="C71" s="71" t="s">
        <v>41</v>
      </c>
      <c r="D71" s="78" t="s">
        <v>17</v>
      </c>
      <c r="E71" s="82" t="s">
        <v>42</v>
      </c>
      <c r="F71" s="86">
        <v>1</v>
      </c>
      <c r="G71" s="75"/>
      <c r="H71" s="80" t="s">
        <v>63</v>
      </c>
    </row>
    <row r="72" spans="1:8" x14ac:dyDescent="0.4">
      <c r="A72" s="91" t="s">
        <v>84</v>
      </c>
      <c r="B72" s="68"/>
      <c r="C72" s="71" t="s">
        <v>37</v>
      </c>
      <c r="D72" s="78" t="s">
        <v>17</v>
      </c>
      <c r="E72" s="82" t="s">
        <v>42</v>
      </c>
      <c r="F72" s="86">
        <v>1</v>
      </c>
      <c r="G72" s="84"/>
      <c r="H72" s="80" t="s">
        <v>63</v>
      </c>
    </row>
    <row r="73" spans="1:8" x14ac:dyDescent="0.4">
      <c r="A73" s="91" t="s">
        <v>84</v>
      </c>
      <c r="B73" s="68"/>
      <c r="C73" s="71" t="s">
        <v>25</v>
      </c>
      <c r="D73" s="78" t="s">
        <v>17</v>
      </c>
      <c r="E73" s="82" t="s">
        <v>10</v>
      </c>
      <c r="F73" s="86">
        <v>1</v>
      </c>
      <c r="G73" s="75"/>
      <c r="H73" s="80" t="s">
        <v>63</v>
      </c>
    </row>
    <row r="74" spans="1:8" x14ac:dyDescent="0.4">
      <c r="A74" s="91" t="s">
        <v>84</v>
      </c>
      <c r="B74" s="68"/>
      <c r="C74" s="71" t="s">
        <v>58</v>
      </c>
      <c r="D74" s="78" t="s">
        <v>17</v>
      </c>
      <c r="E74" s="82" t="s">
        <v>42</v>
      </c>
      <c r="F74" s="86">
        <v>1</v>
      </c>
      <c r="G74" s="75"/>
      <c r="H74" s="80" t="s">
        <v>63</v>
      </c>
    </row>
    <row r="75" spans="1:8" x14ac:dyDescent="0.4">
      <c r="A75" s="91" t="s">
        <v>84</v>
      </c>
      <c r="B75" s="69"/>
      <c r="C75" s="72" t="s">
        <v>77</v>
      </c>
      <c r="D75" s="78" t="s">
        <v>17</v>
      </c>
      <c r="E75" s="82" t="s">
        <v>10</v>
      </c>
      <c r="F75" s="38">
        <v>1</v>
      </c>
      <c r="G75" s="99"/>
      <c r="H75" s="80" t="s">
        <v>63</v>
      </c>
    </row>
  </sheetData>
  <phoneticPr fontId="4"/>
  <dataValidations count="3">
    <dataValidation type="list" allowBlank="1" showInputMessage="1" showErrorMessage="1" sqref="H3:H75" xr:uid="{6668A6B0-AE49-40A9-BDCA-1EF7E08764AB}">
      <formula1>"未着手,作業中,完了"</formula1>
    </dataValidation>
    <dataValidation type="list" allowBlank="1" showInputMessage="1" showErrorMessage="1" sqref="E3:E75" xr:uid="{3F25CF45-EEFF-4838-8184-2DB508A95967}">
      <formula1>"プロト,アルファ,ベータ,マスタ"</formula1>
    </dataValidation>
    <dataValidation type="list" allowBlank="1" showInputMessage="1" showErrorMessage="1" sqref="D3:D75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w t</cp:lastModifiedBy>
  <dcterms:created xsi:type="dcterms:W3CDTF">2026-02-05T12:39:00Z</dcterms:created>
  <dcterms:modified xsi:type="dcterms:W3CDTF">2026-02-15T03:34:39Z</dcterms:modified>
</cp:coreProperties>
</file>