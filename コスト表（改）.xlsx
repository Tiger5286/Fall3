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yongy\git\Fall3\"/>
    </mc:Choice>
  </mc:AlternateContent>
  <xr:revisionPtr revIDLastSave="0" documentId="13_ncr:1_{7ED8AA5C-6673-4E48-A79B-CD7164C5143A}" xr6:coauthVersionLast="47" xr6:coauthVersionMax="47" xr10:uidLastSave="{00000000-0000-0000-0000-000000000000}"/>
  <bookViews>
    <workbookView xWindow="0" yWindow="1110" windowWidth="28485" windowHeight="1437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<sst xmlns="http://schemas.openxmlformats.org/spreadsheetml/2006/main" count="431" uniqueCount="104">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</sst>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topLeftCell="A10" workbookViewId="0">
      <selection activeCell="I13" sqref="I13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10.25" bestFit="1" customWidth="1"/>
    <col min="12" max="12" width="8.875" bestFit="1" customWidth="1"/>
    <col min="13" max="13" width="17.25" bestFit="1" customWidth="1"/>
    <col min="14" max="14" width="23.5" bestFit="1" customWidth="1"/>
    <col min="17" max="17" width="8.875" customWidth="1"/>
    <col min="18" max="18" width="21.5" bestFit="1" customWidth="1"/>
  </cols>
  <sheetData>
    <row r="1" spans="1:19" x14ac:dyDescent="0.4">
      <c r="I1" s="44"/>
    </row>
    <row r="2" spans="1:19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92">
        <v>0.5</v>
      </c>
      <c r="H3" s="4" t="s">
        <v>85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92">
        <v>0.5</v>
      </c>
      <c r="H4" s="4" t="s">
        <v>85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92">
        <v>0.5</v>
      </c>
      <c r="H5" s="4" t="s">
        <v>85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92">
        <v>1</v>
      </c>
      <c r="H6" s="4" t="s">
        <v>85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25</v>
      </c>
      <c r="L7" s="6">
        <f>K7/K3</f>
        <v>0.352112676056338</v>
      </c>
      <c r="N7" s="104" t="s">
        <v>14</v>
      </c>
      <c r="O7" s="38">
        <f>SUMIF(H3:H75,"完了",F3:F75)</f>
        <v>19.5</v>
      </c>
      <c r="R7" s="111" t="s">
        <v>82</v>
      </c>
      <c r="S7" s="38">
        <f>SUMIF(A3:A75,"佐々木",F3:F75)</f>
        <v>6</v>
      </c>
    </row>
    <row r="8" spans="1:19" x14ac:dyDescent="0.4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42</v>
      </c>
      <c r="L8" s="7">
        <f>(K8+K9)/K3</f>
        <v>0.676056338028169</v>
      </c>
      <c r="N8" s="105" t="s">
        <v>15</v>
      </c>
      <c r="O8" s="38">
        <f>SUMIF(H3:H75,"未着手",F3:F75)</f>
        <v>26.6</v>
      </c>
      <c r="R8" s="112" t="s">
        <v>84</v>
      </c>
      <c r="S8" s="38">
        <f>SUMIF(A3:A75,"誰でも",F3:F75)</f>
        <v>8</v>
      </c>
    </row>
    <row r="9" spans="1:19" x14ac:dyDescent="0.4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92">
        <v>0.25</v>
      </c>
      <c r="H9" s="45" t="s">
        <v>85</v>
      </c>
      <c r="I9" s="46"/>
      <c r="J9" s="15" t="s">
        <v>18</v>
      </c>
      <c r="K9" s="3">
        <f>COUNTIF(H3:H75,J9)</f>
        <v>6</v>
      </c>
      <c r="L9" s="3"/>
      <c r="N9" s="106" t="s">
        <v>18</v>
      </c>
      <c r="O9" s="38">
        <f>SUMIF(H3:H75,"作業中",F3:F75)</f>
        <v>5.5</v>
      </c>
    </row>
    <row r="10" spans="1:19" x14ac:dyDescent="0.4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92">
        <v>0.25</v>
      </c>
      <c r="H11" s="4" t="s">
        <v>85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4"/>
      <c r="H12" s="4" t="s">
        <v>86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92">
        <v>0.25</v>
      </c>
      <c r="H13" s="4" t="s">
        <v>85</v>
      </c>
      <c r="I13" s="96"/>
      <c r="J13" s="114"/>
      <c r="K13" s="115"/>
      <c r="L13" s="115"/>
      <c r="M13" s="116"/>
      <c r="N13" s="100"/>
    </row>
    <row r="14" spans="1:19" x14ac:dyDescent="0.4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46070</v>
      </c>
    </row>
    <row r="23" spans="1:15" x14ac:dyDescent="0.4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2</v>
      </c>
      <c r="M23">
        <f ca="1">SUMIF(E3:E75,"プロト",F3:F75) / L23</f>
        <v>14.5</v>
      </c>
      <c r="N23">
        <f ca="1">(SUMIFS(F3:F75,E3:E75,"プロト",H3:H75,"未着手") + SUMIFS(F3:F75,E3:E75,"プロト",H3:H75,"作業中"))/ L23</f>
        <v>4.75</v>
      </c>
      <c r="O23">
        <f xml:space="preserve"> 29 / 15</f>
        <v>1.9333333333333333</v>
      </c>
    </row>
    <row r="24" spans="1:15" x14ac:dyDescent="0.4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>
        <v>1</v>
      </c>
      <c r="H24" s="4" t="s">
        <v>85</v>
      </c>
      <c r="J24" t="s">
        <v>98</v>
      </c>
      <c r="K24" s="117">
        <v>46082</v>
      </c>
      <c r="L24">
        <f ca="1">DATE(2026,3,1) - TODAY()</f>
        <v>12</v>
      </c>
      <c r="M24">
        <f ca="1">SUMIF(E3:E75,"アルファ",F3:F75) / L24</f>
        <v>0.67499999999999993</v>
      </c>
      <c r="N24">
        <f ca="1">(SUMIFS(F3:F75,E3:E75,"アルファ",H3:H75,"未着手") + SUMIFS(F3:F75,E3:E75,"アルファ",H3:H75,"作業中"))/ L24</f>
        <v>0.67499999999999993</v>
      </c>
      <c r="O24">
        <f xml:space="preserve"> 8.1 / 10</f>
        <v>0.80999999999999994</v>
      </c>
    </row>
    <row r="25" spans="1:15" x14ac:dyDescent="0.4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>
        <v>1</v>
      </c>
      <c r="H25" s="4" t="s">
        <v>85</v>
      </c>
      <c r="J25" t="s">
        <v>99</v>
      </c>
      <c r="K25" s="117">
        <v>46091</v>
      </c>
      <c r="L25">
        <f ca="1">DATE(2026,3,10) - TODAY()</f>
        <v>21</v>
      </c>
      <c r="M25">
        <f ca="1">SUMIF(E3:E75,"ベータ",F3:F75) / L25</f>
        <v>0.59523809523809523</v>
      </c>
      <c r="N25">
        <f ca="1">(SUMIFS(F3:F75,E3:E75,"ベータ",H3:H75,"未着手") + SUMIFS(F3:F75,E3:E75,"ベータ",H3:H75,"作業中"))/ L25</f>
        <v>0.59523809523809523</v>
      </c>
      <c r="O25">
        <f xml:space="preserve"> 12.5 / 9</f>
        <v>1.3888888888888888</v>
      </c>
    </row>
    <row r="26" spans="1:15" x14ac:dyDescent="0.4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63</v>
      </c>
      <c r="J26" t="s">
        <v>100</v>
      </c>
      <c r="K26" s="117">
        <v>46096</v>
      </c>
      <c r="L26">
        <f ca="1">DATE(2026,3,15) - TODAY()</f>
        <v>26</v>
      </c>
      <c r="M26">
        <f ca="1">SUM(F3:F75) / L26</f>
        <v>1.9846153846153847</v>
      </c>
      <c r="N26">
        <f ca="1" xml:space="preserve"> (O3 - O7) / L26</f>
        <v>1.2346153846153847</v>
      </c>
    </row>
    <row r="27" spans="1:15" x14ac:dyDescent="0.4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>
        <v>1</v>
      </c>
      <c r="H27" s="4" t="s">
        <v>85</v>
      </c>
    </row>
    <row r="28" spans="1:15" x14ac:dyDescent="0.4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8">
        <v>0.5</v>
      </c>
      <c r="G28" s="41"/>
      <c r="H28" s="4" t="s">
        <v>63</v>
      </c>
    </row>
    <row r="29" spans="1:15" x14ac:dyDescent="0.4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5">
        <v>1</v>
      </c>
      <c r="G29" s="41"/>
      <c r="H29" s="4" t="s">
        <v>63</v>
      </c>
    </row>
    <row r="30" spans="1:15" x14ac:dyDescent="0.4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>
        <v>2</v>
      </c>
      <c r="H30" s="4" t="s">
        <v>85</v>
      </c>
    </row>
    <row r="31" spans="1:15" x14ac:dyDescent="0.4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/>
      <c r="H32" s="4" t="s">
        <v>86</v>
      </c>
    </row>
    <row r="33" spans="1:8" x14ac:dyDescent="0.4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>
        <v>1</v>
      </c>
      <c r="H33" s="4" t="s">
        <v>85</v>
      </c>
    </row>
    <row r="34" spans="1:8" x14ac:dyDescent="0.4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63</v>
      </c>
    </row>
    <row r="42" spans="1:8" x14ac:dyDescent="0.4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63</v>
      </c>
    </row>
    <row r="57" spans="1:8" x14ac:dyDescent="0.4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86</v>
      </c>
    </row>
    <row r="59" spans="1:8" x14ac:dyDescent="0.4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>
        <v>1</v>
      </c>
      <c r="H59" s="65" t="s">
        <v>85</v>
      </c>
    </row>
    <row r="60" spans="1:8" x14ac:dyDescent="0.4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>
        <v>1</v>
      </c>
      <c r="H68" s="80" t="s">
        <v>85</v>
      </c>
    </row>
    <row r="69" spans="1:8" x14ac:dyDescent="0.4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2026-02-17T11:32:04Z</dcterms:modified>
</cp:coreProperties>
</file>